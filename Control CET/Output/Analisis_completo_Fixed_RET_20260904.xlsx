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ana Chicacausa\OneDrive - Blend 360\Escritorio\Git\adr-project-control-P2457\Control CET\Output\"/>
    </mc:Choice>
  </mc:AlternateContent>
  <xr:revisionPtr revIDLastSave="0" documentId="13_ncr:1_{42FC145A-6607-4BF1-BE7E-D1FC470B53E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men" sheetId="10" r:id="rId1"/>
    <sheet name="Cumplimiento" sheetId="9" r:id="rId2"/>
    <sheet name="Anomalias" sheetId="3" r:id="rId3"/>
    <sheet name="Alertas por linea" sheetId="11" r:id="rId4"/>
    <sheet name="Planeacion normalizada" sheetId="4" r:id="rId5"/>
    <sheet name="Mapeo nombres" sheetId="5" r:id="rId6"/>
    <sheet name="Fuentes y supuestos" sheetId="6" r:id="rId7"/>
    <sheet name="Calendario laboral" sheetId="7" r:id="rId8"/>
    <sheet name="RET OpenAir fuente" sheetId="8" r:id="rId9"/>
  </sheets>
  <definedNames>
    <definedName name="_xlnm._FilterDatabase" localSheetId="3" hidden="1">'Alertas por linea'!$A$4:$J$82</definedName>
    <definedName name="_xlnm._FilterDatabase" localSheetId="2" hidden="1">Anomalias!$A$4:$H$68</definedName>
    <definedName name="_xlnm._FilterDatabase" localSheetId="7" hidden="1">'Calendario laboral'!$A$4:$G$70</definedName>
    <definedName name="_xlnm._FilterDatabase" localSheetId="1" hidden="1">Cumplimiento!$A$4:$Z$106</definedName>
    <definedName name="_xlnm._FilterDatabase" localSheetId="6" hidden="1">'Fuentes y supuestos'!$A$4:$E$18</definedName>
    <definedName name="_xlnm._FilterDatabase" localSheetId="5" hidden="1">'Mapeo nombres'!$A$4:$F$38</definedName>
    <definedName name="_xlnm._FilterDatabase" localSheetId="4" hidden="1">'Planeacion normalizada'!$A$4:$H$106</definedName>
    <definedName name="_xlnm._FilterDatabase" localSheetId="8" hidden="1">'RET OpenAir fuente'!$A$4:$F$320</definedName>
    <definedName name="_xlnm.Print_Titles" localSheetId="3">'Alertas por linea'!$1:$4</definedName>
    <definedName name="_xlnm.Print_Titles" localSheetId="2">Anomalias!$1:$4</definedName>
    <definedName name="_xlnm.Print_Titles" localSheetId="7">'Calendario laboral'!$1:$2</definedName>
    <definedName name="_xlnm.Print_Titles" localSheetId="1">Cumplimiento!$A:$C,Cumplimiento!$1:$4</definedName>
    <definedName name="_xlnm.Print_Titles" localSheetId="6">'Fuentes y supuestos'!$1:$4</definedName>
    <definedName name="_xlnm.Print_Titles" localSheetId="5">'Mapeo nombres'!$1:$4</definedName>
    <definedName name="_xlnm.Print_Titles" localSheetId="4">'Planeacion normalizada'!$1:$4</definedName>
    <definedName name="_xlnm.Print_Titles" localSheetId="8">'RET OpenAir fuente'!$1:$4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0" l="1"/>
  <c r="C16" i="10"/>
  <c r="F15" i="10"/>
  <c r="C15" i="10"/>
  <c r="F14" i="10"/>
  <c r="C14" i="10"/>
  <c r="J5" i="10"/>
  <c r="A25" i="10" s="1"/>
  <c r="D5" i="10"/>
  <c r="A26" i="10" s="1"/>
  <c r="Y106" i="9"/>
  <c r="X106" i="9"/>
  <c r="W106" i="9"/>
  <c r="Q106" i="9"/>
  <c r="S106" i="9" s="1"/>
  <c r="U106" i="9" s="1"/>
  <c r="L106" i="9"/>
  <c r="N106" i="9" s="1"/>
  <c r="H106" i="9"/>
  <c r="J106" i="9" s="1"/>
  <c r="F106" i="9"/>
  <c r="Y105" i="9"/>
  <c r="X105" i="9"/>
  <c r="W105" i="9"/>
  <c r="Q105" i="9"/>
  <c r="S105" i="9" s="1"/>
  <c r="U105" i="9" s="1"/>
  <c r="L105" i="9"/>
  <c r="N105" i="9" s="1"/>
  <c r="H105" i="9"/>
  <c r="J105" i="9" s="1"/>
  <c r="F105" i="9"/>
  <c r="Y104" i="9"/>
  <c r="X104" i="9"/>
  <c r="W104" i="9"/>
  <c r="Q104" i="9"/>
  <c r="S104" i="9" s="1"/>
  <c r="U104" i="9" s="1"/>
  <c r="L104" i="9"/>
  <c r="N104" i="9" s="1"/>
  <c r="H104" i="9"/>
  <c r="J104" i="9" s="1"/>
  <c r="F104" i="9"/>
  <c r="Y103" i="9"/>
  <c r="X103" i="9"/>
  <c r="W103" i="9"/>
  <c r="Q103" i="9"/>
  <c r="S103" i="9" s="1"/>
  <c r="U103" i="9" s="1"/>
  <c r="L103" i="9"/>
  <c r="N103" i="9" s="1"/>
  <c r="H103" i="9"/>
  <c r="J103" i="9" s="1"/>
  <c r="F103" i="9"/>
  <c r="Y102" i="9"/>
  <c r="X102" i="9"/>
  <c r="W102" i="9"/>
  <c r="Q102" i="9"/>
  <c r="S102" i="9" s="1"/>
  <c r="U102" i="9" s="1"/>
  <c r="L102" i="9"/>
  <c r="N102" i="9" s="1"/>
  <c r="H102" i="9"/>
  <c r="J102" i="9" s="1"/>
  <c r="F102" i="9"/>
  <c r="Y101" i="9"/>
  <c r="X101" i="9"/>
  <c r="W101" i="9"/>
  <c r="Q101" i="9"/>
  <c r="S101" i="9" s="1"/>
  <c r="U101" i="9" s="1"/>
  <c r="L101" i="9"/>
  <c r="N101" i="9" s="1"/>
  <c r="H101" i="9"/>
  <c r="J101" i="9" s="1"/>
  <c r="F101" i="9"/>
  <c r="Y100" i="9"/>
  <c r="X100" i="9"/>
  <c r="W100" i="9"/>
  <c r="Q100" i="9"/>
  <c r="S100" i="9" s="1"/>
  <c r="U100" i="9" s="1"/>
  <c r="L100" i="9"/>
  <c r="N100" i="9" s="1"/>
  <c r="H100" i="9"/>
  <c r="J100" i="9" s="1"/>
  <c r="F100" i="9"/>
  <c r="Y99" i="9"/>
  <c r="X99" i="9"/>
  <c r="W99" i="9"/>
  <c r="Q99" i="9"/>
  <c r="S99" i="9" s="1"/>
  <c r="U99" i="9" s="1"/>
  <c r="L99" i="9"/>
  <c r="O99" i="9" s="1"/>
  <c r="H99" i="9"/>
  <c r="J99" i="9" s="1"/>
  <c r="F99" i="9"/>
  <c r="Y98" i="9"/>
  <c r="X98" i="9"/>
  <c r="W98" i="9"/>
  <c r="Q98" i="9"/>
  <c r="S98" i="9" s="1"/>
  <c r="U98" i="9" s="1"/>
  <c r="L98" i="9"/>
  <c r="O98" i="9" s="1"/>
  <c r="H98" i="9"/>
  <c r="K98" i="9" s="1"/>
  <c r="F98" i="9"/>
  <c r="Y97" i="9"/>
  <c r="X97" i="9"/>
  <c r="W97" i="9"/>
  <c r="Q97" i="9"/>
  <c r="S97" i="9" s="1"/>
  <c r="U97" i="9" s="1"/>
  <c r="L97" i="9"/>
  <c r="N97" i="9" s="1"/>
  <c r="H97" i="9"/>
  <c r="J97" i="9" s="1"/>
  <c r="F97" i="9"/>
  <c r="Y96" i="9"/>
  <c r="X96" i="9"/>
  <c r="W96" i="9"/>
  <c r="Q96" i="9"/>
  <c r="S96" i="9" s="1"/>
  <c r="U96" i="9" s="1"/>
  <c r="L96" i="9"/>
  <c r="N96" i="9" s="1"/>
  <c r="H96" i="9"/>
  <c r="K96" i="9" s="1"/>
  <c r="F96" i="9"/>
  <c r="Y95" i="9"/>
  <c r="X95" i="9"/>
  <c r="W95" i="9"/>
  <c r="Q95" i="9"/>
  <c r="S95" i="9" s="1"/>
  <c r="U95" i="9" s="1"/>
  <c r="L95" i="9"/>
  <c r="O95" i="9" s="1"/>
  <c r="H95" i="9"/>
  <c r="J95" i="9" s="1"/>
  <c r="F95" i="9"/>
  <c r="Y94" i="9"/>
  <c r="X94" i="9"/>
  <c r="W94" i="9"/>
  <c r="Q94" i="9"/>
  <c r="T94" i="9" s="1"/>
  <c r="V94" i="9" s="1"/>
  <c r="L94" i="9"/>
  <c r="N94" i="9" s="1"/>
  <c r="H94" i="9"/>
  <c r="K94" i="9" s="1"/>
  <c r="F94" i="9"/>
  <c r="Y93" i="9"/>
  <c r="X93" i="9"/>
  <c r="W93" i="9"/>
  <c r="Q93" i="9"/>
  <c r="S93" i="9" s="1"/>
  <c r="U93" i="9" s="1"/>
  <c r="L93" i="9"/>
  <c r="N93" i="9" s="1"/>
  <c r="H93" i="9"/>
  <c r="J93" i="9" s="1"/>
  <c r="F93" i="9"/>
  <c r="Y92" i="9"/>
  <c r="X92" i="9"/>
  <c r="W92" i="9"/>
  <c r="Q92" i="9"/>
  <c r="S92" i="9" s="1"/>
  <c r="U92" i="9" s="1"/>
  <c r="L92" i="9"/>
  <c r="O92" i="9" s="1"/>
  <c r="H92" i="9"/>
  <c r="J92" i="9" s="1"/>
  <c r="F92" i="9"/>
  <c r="X91" i="9"/>
  <c r="W91" i="9"/>
  <c r="Q91" i="9"/>
  <c r="S91" i="9" s="1"/>
  <c r="U91" i="9" s="1"/>
  <c r="L91" i="9"/>
  <c r="N91" i="9" s="1"/>
  <c r="H91" i="9"/>
  <c r="J91" i="9" s="1"/>
  <c r="F91" i="9"/>
  <c r="X90" i="9"/>
  <c r="Q90" i="9"/>
  <c r="S90" i="9" s="1"/>
  <c r="U90" i="9" s="1"/>
  <c r="L90" i="9"/>
  <c r="N90" i="9" s="1"/>
  <c r="H90" i="9"/>
  <c r="K90" i="9" s="1"/>
  <c r="F90" i="9"/>
  <c r="X89" i="9"/>
  <c r="Q89" i="9"/>
  <c r="S89" i="9" s="1"/>
  <c r="U89" i="9" s="1"/>
  <c r="L89" i="9"/>
  <c r="N89" i="9" s="1"/>
  <c r="H89" i="9"/>
  <c r="K89" i="9" s="1"/>
  <c r="F89" i="9"/>
  <c r="X88" i="9"/>
  <c r="Q88" i="9"/>
  <c r="S88" i="9" s="1"/>
  <c r="U88" i="9" s="1"/>
  <c r="L88" i="9"/>
  <c r="N88" i="9" s="1"/>
  <c r="H88" i="9"/>
  <c r="J88" i="9" s="1"/>
  <c r="W88" i="9" s="1"/>
  <c r="F88" i="9"/>
  <c r="X87" i="9"/>
  <c r="Q87" i="9"/>
  <c r="S87" i="9" s="1"/>
  <c r="U87" i="9" s="1"/>
  <c r="L87" i="9"/>
  <c r="N87" i="9" s="1"/>
  <c r="H87" i="9"/>
  <c r="J87" i="9" s="1"/>
  <c r="W87" i="9" s="1"/>
  <c r="F87" i="9"/>
  <c r="X86" i="9"/>
  <c r="Q86" i="9"/>
  <c r="S86" i="9" s="1"/>
  <c r="U86" i="9" s="1"/>
  <c r="L86" i="9"/>
  <c r="N86" i="9" s="1"/>
  <c r="H86" i="9"/>
  <c r="J86" i="9" s="1"/>
  <c r="W86" i="9" s="1"/>
  <c r="F86" i="9"/>
  <c r="X85" i="9"/>
  <c r="W85" i="9"/>
  <c r="Q85" i="9"/>
  <c r="S85" i="9" s="1"/>
  <c r="U85" i="9" s="1"/>
  <c r="L85" i="9"/>
  <c r="O85" i="9" s="1"/>
  <c r="H85" i="9"/>
  <c r="J85" i="9" s="1"/>
  <c r="F85" i="9"/>
  <c r="X84" i="9"/>
  <c r="Q84" i="9"/>
  <c r="S84" i="9" s="1"/>
  <c r="U84" i="9" s="1"/>
  <c r="L84" i="9"/>
  <c r="N84" i="9" s="1"/>
  <c r="H84" i="9"/>
  <c r="J84" i="9" s="1"/>
  <c r="W84" i="9" s="1"/>
  <c r="F84" i="9"/>
  <c r="X83" i="9"/>
  <c r="Q83" i="9"/>
  <c r="S83" i="9" s="1"/>
  <c r="U83" i="9" s="1"/>
  <c r="L83" i="9"/>
  <c r="N83" i="9" s="1"/>
  <c r="H83" i="9"/>
  <c r="J83" i="9" s="1"/>
  <c r="W83" i="9" s="1"/>
  <c r="F83" i="9"/>
  <c r="X82" i="9"/>
  <c r="W82" i="9"/>
  <c r="Q82" i="9"/>
  <c r="S82" i="9" s="1"/>
  <c r="U82" i="9" s="1"/>
  <c r="L82" i="9"/>
  <c r="N82" i="9" s="1"/>
  <c r="H82" i="9"/>
  <c r="J82" i="9" s="1"/>
  <c r="F82" i="9"/>
  <c r="X81" i="9"/>
  <c r="Q81" i="9"/>
  <c r="S81" i="9" s="1"/>
  <c r="U81" i="9" s="1"/>
  <c r="L81" i="9"/>
  <c r="O81" i="9" s="1"/>
  <c r="H81" i="9"/>
  <c r="J81" i="9" s="1"/>
  <c r="W81" i="9" s="1"/>
  <c r="F81" i="9"/>
  <c r="X80" i="9"/>
  <c r="Q80" i="9"/>
  <c r="S80" i="9" s="1"/>
  <c r="U80" i="9" s="1"/>
  <c r="L80" i="9"/>
  <c r="N80" i="9" s="1"/>
  <c r="H80" i="9"/>
  <c r="J80" i="9" s="1"/>
  <c r="W80" i="9" s="1"/>
  <c r="F80" i="9"/>
  <c r="X79" i="9"/>
  <c r="Q79" i="9"/>
  <c r="S79" i="9" s="1"/>
  <c r="U79" i="9" s="1"/>
  <c r="L79" i="9"/>
  <c r="N79" i="9" s="1"/>
  <c r="H79" i="9"/>
  <c r="K79" i="9" s="1"/>
  <c r="F79" i="9"/>
  <c r="X78" i="9"/>
  <c r="Q78" i="9"/>
  <c r="S78" i="9" s="1"/>
  <c r="U78" i="9" s="1"/>
  <c r="L78" i="9"/>
  <c r="N78" i="9" s="1"/>
  <c r="H78" i="9"/>
  <c r="J78" i="9" s="1"/>
  <c r="W78" i="9" s="1"/>
  <c r="F78" i="9"/>
  <c r="X77" i="9"/>
  <c r="Q77" i="9"/>
  <c r="S77" i="9" s="1"/>
  <c r="U77" i="9" s="1"/>
  <c r="L77" i="9"/>
  <c r="N77" i="9" s="1"/>
  <c r="H77" i="9"/>
  <c r="J77" i="9" s="1"/>
  <c r="W77" i="9" s="1"/>
  <c r="F77" i="9"/>
  <c r="X76" i="9"/>
  <c r="W76" i="9"/>
  <c r="Q76" i="9"/>
  <c r="S76" i="9" s="1"/>
  <c r="U76" i="9" s="1"/>
  <c r="L76" i="9"/>
  <c r="N76" i="9" s="1"/>
  <c r="H76" i="9"/>
  <c r="J76" i="9" s="1"/>
  <c r="F76" i="9"/>
  <c r="X75" i="9"/>
  <c r="Q75" i="9"/>
  <c r="T75" i="9" s="1"/>
  <c r="V75" i="9" s="1"/>
  <c r="L75" i="9"/>
  <c r="N75" i="9" s="1"/>
  <c r="H75" i="9"/>
  <c r="J75" i="9" s="1"/>
  <c r="W75" i="9" s="1"/>
  <c r="F75" i="9"/>
  <c r="X74" i="9"/>
  <c r="Q74" i="9"/>
  <c r="T74" i="9" s="1"/>
  <c r="V74" i="9" s="1"/>
  <c r="L74" i="9"/>
  <c r="N74" i="9" s="1"/>
  <c r="H74" i="9"/>
  <c r="J74" i="9" s="1"/>
  <c r="W74" i="9" s="1"/>
  <c r="F74" i="9"/>
  <c r="X73" i="9"/>
  <c r="W73" i="9"/>
  <c r="Q73" i="9"/>
  <c r="S73" i="9" s="1"/>
  <c r="U73" i="9" s="1"/>
  <c r="L73" i="9"/>
  <c r="N73" i="9" s="1"/>
  <c r="H73" i="9"/>
  <c r="J73" i="9" s="1"/>
  <c r="F73" i="9"/>
  <c r="Q72" i="9"/>
  <c r="S72" i="9" s="1"/>
  <c r="U72" i="9" s="1"/>
  <c r="L72" i="9"/>
  <c r="N72" i="9" s="1"/>
  <c r="X72" i="9" s="1"/>
  <c r="H72" i="9"/>
  <c r="K72" i="9" s="1"/>
  <c r="F72" i="9"/>
  <c r="X71" i="9"/>
  <c r="Q71" i="9"/>
  <c r="T71" i="9" s="1"/>
  <c r="V71" i="9" s="1"/>
  <c r="L71" i="9"/>
  <c r="N71" i="9" s="1"/>
  <c r="H71" i="9"/>
  <c r="K71" i="9" s="1"/>
  <c r="F71" i="9"/>
  <c r="X70" i="9"/>
  <c r="W70" i="9"/>
  <c r="Q70" i="9"/>
  <c r="S70" i="9" s="1"/>
  <c r="U70" i="9" s="1"/>
  <c r="L70" i="9"/>
  <c r="N70" i="9" s="1"/>
  <c r="H70" i="9"/>
  <c r="J70" i="9" s="1"/>
  <c r="F70" i="9"/>
  <c r="X69" i="9"/>
  <c r="Q69" i="9"/>
  <c r="S69" i="9" s="1"/>
  <c r="U69" i="9" s="1"/>
  <c r="L69" i="9"/>
  <c r="N69" i="9" s="1"/>
  <c r="H69" i="9"/>
  <c r="J69" i="9" s="1"/>
  <c r="W69" i="9" s="1"/>
  <c r="F69" i="9"/>
  <c r="X68" i="9"/>
  <c r="Q68" i="9"/>
  <c r="T68" i="9" s="1"/>
  <c r="V68" i="9" s="1"/>
  <c r="L68" i="9"/>
  <c r="N68" i="9" s="1"/>
  <c r="H68" i="9"/>
  <c r="J68" i="9" s="1"/>
  <c r="W68" i="9" s="1"/>
  <c r="F68" i="9"/>
  <c r="Q67" i="9"/>
  <c r="S67" i="9" s="1"/>
  <c r="U67" i="9" s="1"/>
  <c r="L67" i="9"/>
  <c r="O67" i="9" s="1"/>
  <c r="H67" i="9"/>
  <c r="J67" i="9" s="1"/>
  <c r="W67" i="9" s="1"/>
  <c r="F67" i="9"/>
  <c r="X66" i="9"/>
  <c r="Q66" i="9"/>
  <c r="S66" i="9" s="1"/>
  <c r="U66" i="9" s="1"/>
  <c r="L66" i="9"/>
  <c r="N66" i="9" s="1"/>
  <c r="H66" i="9"/>
  <c r="J66" i="9" s="1"/>
  <c r="W66" i="9" s="1"/>
  <c r="F66" i="9"/>
  <c r="X65" i="9"/>
  <c r="Q65" i="9"/>
  <c r="S65" i="9" s="1"/>
  <c r="U65" i="9" s="1"/>
  <c r="L65" i="9"/>
  <c r="N65" i="9" s="1"/>
  <c r="H65" i="9"/>
  <c r="J65" i="9" s="1"/>
  <c r="W65" i="9" s="1"/>
  <c r="F65" i="9"/>
  <c r="Q64" i="9"/>
  <c r="S64" i="9" s="1"/>
  <c r="U64" i="9" s="1"/>
  <c r="L64" i="9"/>
  <c r="N64" i="9" s="1"/>
  <c r="X64" i="9" s="1"/>
  <c r="H64" i="9"/>
  <c r="K64" i="9" s="1"/>
  <c r="F64" i="9"/>
  <c r="X63" i="9"/>
  <c r="Q63" i="9"/>
  <c r="T63" i="9" s="1"/>
  <c r="V63" i="9" s="1"/>
  <c r="L63" i="9"/>
  <c r="O63" i="9" s="1"/>
  <c r="H63" i="9"/>
  <c r="K63" i="9" s="1"/>
  <c r="F63" i="9"/>
  <c r="X62" i="9"/>
  <c r="Q62" i="9"/>
  <c r="S62" i="9" s="1"/>
  <c r="U62" i="9" s="1"/>
  <c r="L62" i="9"/>
  <c r="N62" i="9" s="1"/>
  <c r="H62" i="9"/>
  <c r="J62" i="9" s="1"/>
  <c r="W62" i="9" s="1"/>
  <c r="F62" i="9"/>
  <c r="X61" i="9"/>
  <c r="W61" i="9"/>
  <c r="Q61" i="9"/>
  <c r="S61" i="9" s="1"/>
  <c r="U61" i="9" s="1"/>
  <c r="L61" i="9"/>
  <c r="N61" i="9" s="1"/>
  <c r="H61" i="9"/>
  <c r="K61" i="9" s="1"/>
  <c r="F61" i="9"/>
  <c r="X60" i="9"/>
  <c r="Q60" i="9"/>
  <c r="S60" i="9" s="1"/>
  <c r="U60" i="9" s="1"/>
  <c r="L60" i="9"/>
  <c r="N60" i="9" s="1"/>
  <c r="H60" i="9"/>
  <c r="J60" i="9" s="1"/>
  <c r="W60" i="9" s="1"/>
  <c r="F60" i="9"/>
  <c r="X59" i="9"/>
  <c r="Q59" i="9"/>
  <c r="T59" i="9" s="1"/>
  <c r="V59" i="9" s="1"/>
  <c r="L59" i="9"/>
  <c r="N59" i="9" s="1"/>
  <c r="H59" i="9"/>
  <c r="J59" i="9" s="1"/>
  <c r="W59" i="9" s="1"/>
  <c r="F59" i="9"/>
  <c r="X58" i="9"/>
  <c r="W58" i="9"/>
  <c r="Q58" i="9"/>
  <c r="S58" i="9" s="1"/>
  <c r="U58" i="9" s="1"/>
  <c r="L58" i="9"/>
  <c r="N58" i="9" s="1"/>
  <c r="H58" i="9"/>
  <c r="J58" i="9" s="1"/>
  <c r="F58" i="9"/>
  <c r="X57" i="9"/>
  <c r="Q57" i="9"/>
  <c r="S57" i="9" s="1"/>
  <c r="U57" i="9" s="1"/>
  <c r="L57" i="9"/>
  <c r="N57" i="9" s="1"/>
  <c r="H57" i="9"/>
  <c r="K57" i="9" s="1"/>
  <c r="F57" i="9"/>
  <c r="X56" i="9"/>
  <c r="Q56" i="9"/>
  <c r="S56" i="9" s="1"/>
  <c r="U56" i="9" s="1"/>
  <c r="L56" i="9"/>
  <c r="O56" i="9" s="1"/>
  <c r="H56" i="9"/>
  <c r="J56" i="9" s="1"/>
  <c r="W56" i="9" s="1"/>
  <c r="F56" i="9"/>
  <c r="X55" i="9"/>
  <c r="Q55" i="9"/>
  <c r="S55" i="9" s="1"/>
  <c r="U55" i="9" s="1"/>
  <c r="L55" i="9"/>
  <c r="N55" i="9" s="1"/>
  <c r="H55" i="9"/>
  <c r="J55" i="9" s="1"/>
  <c r="W55" i="9" s="1"/>
  <c r="F55" i="9"/>
  <c r="X54" i="9"/>
  <c r="Q54" i="9"/>
  <c r="S54" i="9" s="1"/>
  <c r="U54" i="9" s="1"/>
  <c r="L54" i="9"/>
  <c r="O54" i="9" s="1"/>
  <c r="H54" i="9"/>
  <c r="J54" i="9" s="1"/>
  <c r="W54" i="9" s="1"/>
  <c r="F54" i="9"/>
  <c r="X53" i="9"/>
  <c r="Q53" i="9"/>
  <c r="S53" i="9" s="1"/>
  <c r="U53" i="9" s="1"/>
  <c r="L53" i="9"/>
  <c r="N53" i="9" s="1"/>
  <c r="H53" i="9"/>
  <c r="K53" i="9" s="1"/>
  <c r="F53" i="9"/>
  <c r="X52" i="9"/>
  <c r="Q52" i="9"/>
  <c r="T52" i="9" s="1"/>
  <c r="V52" i="9" s="1"/>
  <c r="L52" i="9"/>
  <c r="N52" i="9" s="1"/>
  <c r="H52" i="9"/>
  <c r="J52" i="9" s="1"/>
  <c r="W52" i="9" s="1"/>
  <c r="F52" i="9"/>
  <c r="X51" i="9"/>
  <c r="Q51" i="9"/>
  <c r="S51" i="9" s="1"/>
  <c r="U51" i="9" s="1"/>
  <c r="L51" i="9"/>
  <c r="N51" i="9" s="1"/>
  <c r="H51" i="9"/>
  <c r="J51" i="9" s="1"/>
  <c r="W51" i="9" s="1"/>
  <c r="F51" i="9"/>
  <c r="X50" i="9"/>
  <c r="Q50" i="9"/>
  <c r="S50" i="9" s="1"/>
  <c r="U50" i="9" s="1"/>
  <c r="L50" i="9"/>
  <c r="N50" i="9" s="1"/>
  <c r="H50" i="9"/>
  <c r="J50" i="9" s="1"/>
  <c r="W50" i="9" s="1"/>
  <c r="F50" i="9"/>
  <c r="X49" i="9"/>
  <c r="W49" i="9"/>
  <c r="Q49" i="9"/>
  <c r="S49" i="9" s="1"/>
  <c r="U49" i="9" s="1"/>
  <c r="L49" i="9"/>
  <c r="N49" i="9" s="1"/>
  <c r="H49" i="9"/>
  <c r="J49" i="9" s="1"/>
  <c r="F49" i="9"/>
  <c r="X48" i="9"/>
  <c r="Q48" i="9"/>
  <c r="T48" i="9" s="1"/>
  <c r="V48" i="9" s="1"/>
  <c r="L48" i="9"/>
  <c r="N48" i="9" s="1"/>
  <c r="H48" i="9"/>
  <c r="J48" i="9" s="1"/>
  <c r="W48" i="9" s="1"/>
  <c r="F48" i="9"/>
  <c r="X47" i="9"/>
  <c r="Q47" i="9"/>
  <c r="S47" i="9" s="1"/>
  <c r="U47" i="9" s="1"/>
  <c r="L47" i="9"/>
  <c r="N47" i="9" s="1"/>
  <c r="H47" i="9"/>
  <c r="J47" i="9" s="1"/>
  <c r="W47" i="9" s="1"/>
  <c r="F47" i="9"/>
  <c r="X46" i="9"/>
  <c r="W46" i="9"/>
  <c r="Q46" i="9"/>
  <c r="S46" i="9" s="1"/>
  <c r="U46" i="9" s="1"/>
  <c r="L46" i="9"/>
  <c r="N46" i="9" s="1"/>
  <c r="H46" i="9"/>
  <c r="J46" i="9" s="1"/>
  <c r="F46" i="9"/>
  <c r="X45" i="9"/>
  <c r="Q45" i="9"/>
  <c r="T45" i="9" s="1"/>
  <c r="V45" i="9" s="1"/>
  <c r="L45" i="9"/>
  <c r="N45" i="9" s="1"/>
  <c r="H45" i="9"/>
  <c r="J45" i="9" s="1"/>
  <c r="W45" i="9" s="1"/>
  <c r="F45" i="9"/>
  <c r="X44" i="9"/>
  <c r="Q44" i="9"/>
  <c r="S44" i="9" s="1"/>
  <c r="U44" i="9" s="1"/>
  <c r="L44" i="9"/>
  <c r="N44" i="9" s="1"/>
  <c r="H44" i="9"/>
  <c r="J44" i="9" s="1"/>
  <c r="W44" i="9" s="1"/>
  <c r="F44" i="9"/>
  <c r="X43" i="9"/>
  <c r="W43" i="9"/>
  <c r="Q43" i="9"/>
  <c r="S43" i="9" s="1"/>
  <c r="U43" i="9" s="1"/>
  <c r="L43" i="9"/>
  <c r="N43" i="9" s="1"/>
  <c r="H43" i="9"/>
  <c r="J43" i="9" s="1"/>
  <c r="F43" i="9"/>
  <c r="X42" i="9"/>
  <c r="Q42" i="9"/>
  <c r="S42" i="9" s="1"/>
  <c r="U42" i="9" s="1"/>
  <c r="L42" i="9"/>
  <c r="N42" i="9" s="1"/>
  <c r="H42" i="9"/>
  <c r="J42" i="9" s="1"/>
  <c r="W42" i="9" s="1"/>
  <c r="F42" i="9"/>
  <c r="X41" i="9"/>
  <c r="Q41" i="9"/>
  <c r="S41" i="9" s="1"/>
  <c r="U41" i="9" s="1"/>
  <c r="L41" i="9"/>
  <c r="N41" i="9" s="1"/>
  <c r="H41" i="9"/>
  <c r="J41" i="9" s="1"/>
  <c r="W41" i="9" s="1"/>
  <c r="F41" i="9"/>
  <c r="X40" i="9"/>
  <c r="W40" i="9"/>
  <c r="Q40" i="9"/>
  <c r="S40" i="9" s="1"/>
  <c r="U40" i="9" s="1"/>
  <c r="L40" i="9"/>
  <c r="N40" i="9" s="1"/>
  <c r="H40" i="9"/>
  <c r="J40" i="9" s="1"/>
  <c r="F40" i="9"/>
  <c r="X39" i="9"/>
  <c r="Q39" i="9"/>
  <c r="T39" i="9" s="1"/>
  <c r="V39" i="9" s="1"/>
  <c r="L39" i="9"/>
  <c r="N39" i="9" s="1"/>
  <c r="H39" i="9"/>
  <c r="J39" i="9" s="1"/>
  <c r="W39" i="9" s="1"/>
  <c r="F39" i="9"/>
  <c r="X38" i="9"/>
  <c r="Q38" i="9"/>
  <c r="S38" i="9" s="1"/>
  <c r="U38" i="9" s="1"/>
  <c r="L38" i="9"/>
  <c r="O38" i="9" s="1"/>
  <c r="H38" i="9"/>
  <c r="J38" i="9" s="1"/>
  <c r="W38" i="9" s="1"/>
  <c r="F38" i="9"/>
  <c r="X37" i="9"/>
  <c r="W37" i="9"/>
  <c r="Q37" i="9"/>
  <c r="S37" i="9" s="1"/>
  <c r="U37" i="9" s="1"/>
  <c r="L37" i="9"/>
  <c r="O37" i="9" s="1"/>
  <c r="H37" i="9"/>
  <c r="J37" i="9" s="1"/>
  <c r="F37" i="9"/>
  <c r="Q36" i="9"/>
  <c r="S36" i="9" s="1"/>
  <c r="U36" i="9" s="1"/>
  <c r="L36" i="9"/>
  <c r="N36" i="9" s="1"/>
  <c r="X36" i="9" s="1"/>
  <c r="H36" i="9"/>
  <c r="J36" i="9" s="1"/>
  <c r="W36" i="9" s="1"/>
  <c r="F36" i="9"/>
  <c r="X35" i="9"/>
  <c r="Q35" i="9"/>
  <c r="S35" i="9" s="1"/>
  <c r="U35" i="9" s="1"/>
  <c r="L35" i="9"/>
  <c r="N35" i="9" s="1"/>
  <c r="H35" i="9"/>
  <c r="J35" i="9" s="1"/>
  <c r="W35" i="9" s="1"/>
  <c r="F35" i="9"/>
  <c r="X34" i="9"/>
  <c r="W34" i="9"/>
  <c r="Q34" i="9"/>
  <c r="S34" i="9" s="1"/>
  <c r="U34" i="9" s="1"/>
  <c r="L34" i="9"/>
  <c r="N34" i="9" s="1"/>
  <c r="H34" i="9"/>
  <c r="J34" i="9" s="1"/>
  <c r="F34" i="9"/>
  <c r="Q33" i="9"/>
  <c r="S33" i="9" s="1"/>
  <c r="U33" i="9" s="1"/>
  <c r="L33" i="9"/>
  <c r="N33" i="9" s="1"/>
  <c r="X33" i="9" s="1"/>
  <c r="H33" i="9"/>
  <c r="J33" i="9" s="1"/>
  <c r="W33" i="9" s="1"/>
  <c r="F33" i="9"/>
  <c r="X32" i="9"/>
  <c r="Q32" i="9"/>
  <c r="T32" i="9" s="1"/>
  <c r="V32" i="9" s="1"/>
  <c r="L32" i="9"/>
  <c r="N32" i="9" s="1"/>
  <c r="H32" i="9"/>
  <c r="J32" i="9" s="1"/>
  <c r="W32" i="9" s="1"/>
  <c r="F32" i="9"/>
  <c r="X31" i="9"/>
  <c r="W31" i="9"/>
  <c r="Q31" i="9"/>
  <c r="S31" i="9" s="1"/>
  <c r="U31" i="9" s="1"/>
  <c r="L31" i="9"/>
  <c r="N31" i="9" s="1"/>
  <c r="H31" i="9"/>
  <c r="K31" i="9" s="1"/>
  <c r="F31" i="9"/>
  <c r="Q30" i="9"/>
  <c r="S30" i="9" s="1"/>
  <c r="U30" i="9" s="1"/>
  <c r="L30" i="9"/>
  <c r="O30" i="9" s="1"/>
  <c r="H30" i="9"/>
  <c r="J30" i="9" s="1"/>
  <c r="W30" i="9" s="1"/>
  <c r="F30" i="9"/>
  <c r="X29" i="9"/>
  <c r="Q29" i="9"/>
  <c r="T29" i="9" s="1"/>
  <c r="V29" i="9" s="1"/>
  <c r="L29" i="9"/>
  <c r="N29" i="9" s="1"/>
  <c r="H29" i="9"/>
  <c r="J29" i="9" s="1"/>
  <c r="W29" i="9" s="1"/>
  <c r="F29" i="9"/>
  <c r="X28" i="9"/>
  <c r="W28" i="9"/>
  <c r="Q28" i="9"/>
  <c r="S28" i="9" s="1"/>
  <c r="U28" i="9" s="1"/>
  <c r="L28" i="9"/>
  <c r="N28" i="9" s="1"/>
  <c r="H28" i="9"/>
  <c r="J28" i="9" s="1"/>
  <c r="F28" i="9"/>
  <c r="X27" i="9"/>
  <c r="W27" i="9"/>
  <c r="Q27" i="9"/>
  <c r="S27" i="9" s="1"/>
  <c r="U27" i="9" s="1"/>
  <c r="L27" i="9"/>
  <c r="N27" i="9" s="1"/>
  <c r="H27" i="9"/>
  <c r="K27" i="9" s="1"/>
  <c r="F27" i="9"/>
  <c r="X26" i="9"/>
  <c r="Q26" i="9"/>
  <c r="S26" i="9" s="1"/>
  <c r="U26" i="9" s="1"/>
  <c r="L26" i="9"/>
  <c r="N26" i="9" s="1"/>
  <c r="H26" i="9"/>
  <c r="K26" i="9" s="1"/>
  <c r="F26" i="9"/>
  <c r="X25" i="9"/>
  <c r="W25" i="9"/>
  <c r="Q25" i="9"/>
  <c r="S25" i="9" s="1"/>
  <c r="U25" i="9" s="1"/>
  <c r="L25" i="9"/>
  <c r="N25" i="9" s="1"/>
  <c r="H25" i="9"/>
  <c r="J25" i="9" s="1"/>
  <c r="F25" i="9"/>
  <c r="X24" i="9"/>
  <c r="W24" i="9"/>
  <c r="Q24" i="9"/>
  <c r="S24" i="9" s="1"/>
  <c r="U24" i="9" s="1"/>
  <c r="L24" i="9"/>
  <c r="O24" i="9" s="1"/>
  <c r="H24" i="9"/>
  <c r="J24" i="9" s="1"/>
  <c r="F24" i="9"/>
  <c r="X23" i="9"/>
  <c r="Q23" i="9"/>
  <c r="S23" i="9" s="1"/>
  <c r="U23" i="9" s="1"/>
  <c r="L23" i="9"/>
  <c r="N23" i="9" s="1"/>
  <c r="H23" i="9"/>
  <c r="K23" i="9" s="1"/>
  <c r="F23" i="9"/>
  <c r="X22" i="9"/>
  <c r="Q22" i="9"/>
  <c r="S22" i="9" s="1"/>
  <c r="U22" i="9" s="1"/>
  <c r="L22" i="9"/>
  <c r="N22" i="9" s="1"/>
  <c r="H22" i="9"/>
  <c r="J22" i="9" s="1"/>
  <c r="W22" i="9" s="1"/>
  <c r="F22" i="9"/>
  <c r="X21" i="9"/>
  <c r="Q21" i="9"/>
  <c r="S21" i="9" s="1"/>
  <c r="U21" i="9" s="1"/>
  <c r="L21" i="9"/>
  <c r="N21" i="9" s="1"/>
  <c r="H21" i="9"/>
  <c r="J21" i="9" s="1"/>
  <c r="W21" i="9" s="1"/>
  <c r="F21" i="9"/>
  <c r="X20" i="9"/>
  <c r="Q20" i="9"/>
  <c r="T20" i="9" s="1"/>
  <c r="V20" i="9" s="1"/>
  <c r="L20" i="9"/>
  <c r="N20" i="9" s="1"/>
  <c r="H20" i="9"/>
  <c r="J20" i="9" s="1"/>
  <c r="W20" i="9" s="1"/>
  <c r="F20" i="9"/>
  <c r="X19" i="9"/>
  <c r="Q19" i="9"/>
  <c r="T19" i="9" s="1"/>
  <c r="V19" i="9" s="1"/>
  <c r="L19" i="9"/>
  <c r="N19" i="9" s="1"/>
  <c r="H19" i="9"/>
  <c r="J19" i="9" s="1"/>
  <c r="W19" i="9" s="1"/>
  <c r="F19" i="9"/>
  <c r="X18" i="9"/>
  <c r="Q18" i="9"/>
  <c r="S18" i="9" s="1"/>
  <c r="U18" i="9" s="1"/>
  <c r="L18" i="9"/>
  <c r="N18" i="9" s="1"/>
  <c r="H18" i="9"/>
  <c r="J18" i="9" s="1"/>
  <c r="W18" i="9" s="1"/>
  <c r="F18" i="9"/>
  <c r="X17" i="9"/>
  <c r="Q17" i="9"/>
  <c r="S17" i="9" s="1"/>
  <c r="U17" i="9" s="1"/>
  <c r="L17" i="9"/>
  <c r="N17" i="9" s="1"/>
  <c r="H17" i="9"/>
  <c r="J17" i="9" s="1"/>
  <c r="W17" i="9" s="1"/>
  <c r="F17" i="9"/>
  <c r="X16" i="9"/>
  <c r="W16" i="9"/>
  <c r="Q16" i="9"/>
  <c r="T16" i="9" s="1"/>
  <c r="V16" i="9" s="1"/>
  <c r="L16" i="9"/>
  <c r="O16" i="9" s="1"/>
  <c r="H16" i="9"/>
  <c r="J16" i="9" s="1"/>
  <c r="F16" i="9"/>
  <c r="X15" i="9"/>
  <c r="Q15" i="9"/>
  <c r="S15" i="9" s="1"/>
  <c r="U15" i="9" s="1"/>
  <c r="L15" i="9"/>
  <c r="N15" i="9" s="1"/>
  <c r="H15" i="9"/>
  <c r="J15" i="9" s="1"/>
  <c r="W15" i="9" s="1"/>
  <c r="F15" i="9"/>
  <c r="X14" i="9"/>
  <c r="Q14" i="9"/>
  <c r="S14" i="9" s="1"/>
  <c r="U14" i="9" s="1"/>
  <c r="L14" i="9"/>
  <c r="N14" i="9" s="1"/>
  <c r="H14" i="9"/>
  <c r="J14" i="9" s="1"/>
  <c r="W14" i="9" s="1"/>
  <c r="F14" i="9"/>
  <c r="X13" i="9"/>
  <c r="W13" i="9"/>
  <c r="Q13" i="9"/>
  <c r="S13" i="9" s="1"/>
  <c r="U13" i="9" s="1"/>
  <c r="L13" i="9"/>
  <c r="N13" i="9" s="1"/>
  <c r="H13" i="9"/>
  <c r="J13" i="9" s="1"/>
  <c r="F13" i="9"/>
  <c r="X12" i="9"/>
  <c r="Q12" i="9"/>
  <c r="S12" i="9" s="1"/>
  <c r="U12" i="9" s="1"/>
  <c r="L12" i="9"/>
  <c r="N12" i="9" s="1"/>
  <c r="H12" i="9"/>
  <c r="K12" i="9" s="1"/>
  <c r="F12" i="9"/>
  <c r="X11" i="9"/>
  <c r="Q11" i="9"/>
  <c r="S11" i="9" s="1"/>
  <c r="U11" i="9" s="1"/>
  <c r="L11" i="9"/>
  <c r="N11" i="9" s="1"/>
  <c r="H11" i="9"/>
  <c r="J11" i="9" s="1"/>
  <c r="W11" i="9" s="1"/>
  <c r="F11" i="9"/>
  <c r="X10" i="9"/>
  <c r="W10" i="9"/>
  <c r="Q10" i="9"/>
  <c r="S10" i="9" s="1"/>
  <c r="U10" i="9" s="1"/>
  <c r="L10" i="9"/>
  <c r="N10" i="9" s="1"/>
  <c r="H10" i="9"/>
  <c r="J10" i="9" s="1"/>
  <c r="F10" i="9"/>
  <c r="X9" i="9"/>
  <c r="Q9" i="9"/>
  <c r="S9" i="9" s="1"/>
  <c r="U9" i="9" s="1"/>
  <c r="L9" i="9"/>
  <c r="N9" i="9" s="1"/>
  <c r="H9" i="9"/>
  <c r="J9" i="9" s="1"/>
  <c r="W9" i="9" s="1"/>
  <c r="F9" i="9"/>
  <c r="X8" i="9"/>
  <c r="Q8" i="9"/>
  <c r="S8" i="9" s="1"/>
  <c r="U8" i="9" s="1"/>
  <c r="L8" i="9"/>
  <c r="N8" i="9" s="1"/>
  <c r="H8" i="9"/>
  <c r="K8" i="9" s="1"/>
  <c r="F8" i="9"/>
  <c r="Q7" i="9"/>
  <c r="S7" i="9" s="1"/>
  <c r="U7" i="9" s="1"/>
  <c r="L7" i="9"/>
  <c r="O7" i="9" s="1"/>
  <c r="H7" i="9"/>
  <c r="J7" i="9" s="1"/>
  <c r="W7" i="9" s="1"/>
  <c r="F7" i="9"/>
  <c r="Q6" i="9"/>
  <c r="S6" i="9" s="1"/>
  <c r="U6" i="9" s="1"/>
  <c r="L6" i="9"/>
  <c r="N6" i="9" s="1"/>
  <c r="X6" i="9" s="1"/>
  <c r="H6" i="9"/>
  <c r="K6" i="9" s="1"/>
  <c r="F6" i="9"/>
  <c r="X5" i="9"/>
  <c r="Q5" i="9"/>
  <c r="S5" i="9" s="1"/>
  <c r="U5" i="9" s="1"/>
  <c r="L5" i="9"/>
  <c r="N5" i="9" s="1"/>
  <c r="H5" i="9"/>
  <c r="J5" i="9" s="1"/>
  <c r="W5" i="9" s="1"/>
  <c r="F5" i="9"/>
  <c r="B78" i="7"/>
  <c r="B77" i="7"/>
  <c r="B76" i="7"/>
  <c r="G106" i="4"/>
  <c r="H106" i="4" s="1"/>
  <c r="G105" i="4"/>
  <c r="H105" i="4" s="1"/>
  <c r="G104" i="4"/>
  <c r="H104" i="4" s="1"/>
  <c r="G103" i="4"/>
  <c r="H103" i="4" s="1"/>
  <c r="G102" i="4"/>
  <c r="H102" i="4" s="1"/>
  <c r="G101" i="4"/>
  <c r="H101" i="4" s="1"/>
  <c r="G100" i="4"/>
  <c r="H100" i="4" s="1"/>
  <c r="G99" i="4"/>
  <c r="H99" i="4" s="1"/>
  <c r="G98" i="4"/>
  <c r="H98" i="4" s="1"/>
  <c r="G97" i="4"/>
  <c r="H97" i="4" s="1"/>
  <c r="G96" i="4"/>
  <c r="H96" i="4" s="1"/>
  <c r="G95" i="4"/>
  <c r="H95" i="4" s="1"/>
  <c r="G94" i="4"/>
  <c r="H94" i="4" s="1"/>
  <c r="G93" i="4"/>
  <c r="H93" i="4" s="1"/>
  <c r="G92" i="4"/>
  <c r="H92" i="4" s="1"/>
  <c r="G91" i="4"/>
  <c r="H91" i="4" s="1"/>
  <c r="G90" i="4"/>
  <c r="H90" i="4" s="1"/>
  <c r="G89" i="4"/>
  <c r="H89" i="4" s="1"/>
  <c r="G88" i="4"/>
  <c r="H88" i="4" s="1"/>
  <c r="G87" i="4"/>
  <c r="H87" i="4" s="1"/>
  <c r="G86" i="4"/>
  <c r="H86" i="4" s="1"/>
  <c r="G85" i="4"/>
  <c r="H85" i="4" s="1"/>
  <c r="G84" i="4"/>
  <c r="H84" i="4" s="1"/>
  <c r="G83" i="4"/>
  <c r="H83" i="4" s="1"/>
  <c r="G82" i="4"/>
  <c r="H82" i="4" s="1"/>
  <c r="G81" i="4"/>
  <c r="H81" i="4" s="1"/>
  <c r="G80" i="4"/>
  <c r="H80" i="4" s="1"/>
  <c r="G79" i="4"/>
  <c r="H79" i="4" s="1"/>
  <c r="G78" i="4"/>
  <c r="H78" i="4" s="1"/>
  <c r="G77" i="4"/>
  <c r="H77" i="4" s="1"/>
  <c r="G76" i="4"/>
  <c r="H76" i="4" s="1"/>
  <c r="G75" i="4"/>
  <c r="H75" i="4" s="1"/>
  <c r="G74" i="4"/>
  <c r="H74" i="4" s="1"/>
  <c r="G73" i="4"/>
  <c r="H73" i="4" s="1"/>
  <c r="G72" i="4"/>
  <c r="H72" i="4" s="1"/>
  <c r="G71" i="4"/>
  <c r="H71" i="4" s="1"/>
  <c r="G70" i="4"/>
  <c r="H70" i="4" s="1"/>
  <c r="G69" i="4"/>
  <c r="H69" i="4" s="1"/>
  <c r="G68" i="4"/>
  <c r="H68" i="4" s="1"/>
  <c r="G67" i="4"/>
  <c r="H67" i="4" s="1"/>
  <c r="G66" i="4"/>
  <c r="H66" i="4" s="1"/>
  <c r="G65" i="4"/>
  <c r="H65" i="4" s="1"/>
  <c r="G64" i="4"/>
  <c r="H64" i="4" s="1"/>
  <c r="G63" i="4"/>
  <c r="H63" i="4" s="1"/>
  <c r="G62" i="4"/>
  <c r="H62" i="4" s="1"/>
  <c r="G61" i="4"/>
  <c r="H61" i="4" s="1"/>
  <c r="G60" i="4"/>
  <c r="H60" i="4" s="1"/>
  <c r="G59" i="4"/>
  <c r="H59" i="4" s="1"/>
  <c r="G58" i="4"/>
  <c r="H58" i="4" s="1"/>
  <c r="G57" i="4"/>
  <c r="H57" i="4" s="1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I16" i="10" l="1"/>
  <c r="E16" i="10"/>
  <c r="G16" i="10" s="1"/>
  <c r="B16" i="10"/>
  <c r="I15" i="10"/>
  <c r="E15" i="10"/>
  <c r="G15" i="10" s="1"/>
  <c r="I14" i="10"/>
  <c r="B15" i="10"/>
  <c r="E14" i="10"/>
  <c r="G14" i="10" s="1"/>
  <c r="B14" i="10"/>
  <c r="D9" i="10"/>
  <c r="G5" i="10"/>
  <c r="A20" i="10" s="1"/>
  <c r="A5" i="10"/>
  <c r="A19" i="10" s="1"/>
  <c r="T106" i="9"/>
  <c r="V106" i="9" s="1"/>
  <c r="O106" i="9"/>
  <c r="P106" i="9"/>
  <c r="R106" i="9" s="1"/>
  <c r="K106" i="9"/>
  <c r="T105" i="9"/>
  <c r="V105" i="9" s="1"/>
  <c r="P105" i="9"/>
  <c r="R105" i="9" s="1"/>
  <c r="O105" i="9"/>
  <c r="K105" i="9"/>
  <c r="T104" i="9"/>
  <c r="V104" i="9" s="1"/>
  <c r="P104" i="9"/>
  <c r="R104" i="9" s="1"/>
  <c r="O104" i="9"/>
  <c r="K104" i="9"/>
  <c r="T103" i="9"/>
  <c r="V103" i="9" s="1"/>
  <c r="P103" i="9"/>
  <c r="R103" i="9" s="1"/>
  <c r="O103" i="9"/>
  <c r="K103" i="9"/>
  <c r="T102" i="9"/>
  <c r="V102" i="9" s="1"/>
  <c r="P102" i="9"/>
  <c r="R102" i="9" s="1"/>
  <c r="O102" i="9"/>
  <c r="K102" i="9"/>
  <c r="T101" i="9"/>
  <c r="V101" i="9" s="1"/>
  <c r="P101" i="9"/>
  <c r="R101" i="9" s="1"/>
  <c r="O101" i="9"/>
  <c r="K101" i="9"/>
  <c r="T100" i="9"/>
  <c r="V100" i="9" s="1"/>
  <c r="P100" i="9"/>
  <c r="R100" i="9" s="1"/>
  <c r="O100" i="9"/>
  <c r="K100" i="9"/>
  <c r="T99" i="9"/>
  <c r="V99" i="9" s="1"/>
  <c r="P99" i="9"/>
  <c r="R99" i="9" s="1"/>
  <c r="N99" i="9"/>
  <c r="K99" i="9"/>
  <c r="T98" i="9"/>
  <c r="V98" i="9" s="1"/>
  <c r="P98" i="9"/>
  <c r="R98" i="9" s="1"/>
  <c r="N98" i="9"/>
  <c r="J98" i="9"/>
  <c r="T97" i="9"/>
  <c r="V97" i="9" s="1"/>
  <c r="P97" i="9"/>
  <c r="R97" i="9" s="1"/>
  <c r="O97" i="9"/>
  <c r="K97" i="9"/>
  <c r="T96" i="9"/>
  <c r="V96" i="9" s="1"/>
  <c r="O96" i="9"/>
  <c r="P96" i="9"/>
  <c r="R96" i="9" s="1"/>
  <c r="J96" i="9"/>
  <c r="T95" i="9"/>
  <c r="V95" i="9" s="1"/>
  <c r="P95" i="9"/>
  <c r="R95" i="9" s="1"/>
  <c r="N95" i="9"/>
  <c r="K95" i="9"/>
  <c r="S94" i="9"/>
  <c r="U94" i="9" s="1"/>
  <c r="P94" i="9"/>
  <c r="R94" i="9" s="1"/>
  <c r="O94" i="9"/>
  <c r="J94" i="9"/>
  <c r="Y91" i="9"/>
  <c r="T93" i="9"/>
  <c r="V93" i="9" s="1"/>
  <c r="P93" i="9"/>
  <c r="R93" i="9" s="1"/>
  <c r="O93" i="9"/>
  <c r="K93" i="9"/>
  <c r="T92" i="9"/>
  <c r="V92" i="9" s="1"/>
  <c r="P92" i="9"/>
  <c r="R92" i="9" s="1"/>
  <c r="N92" i="9"/>
  <c r="K92" i="9"/>
  <c r="T91" i="9"/>
  <c r="V91" i="9" s="1"/>
  <c r="P91" i="9"/>
  <c r="R91" i="9" s="1"/>
  <c r="O91" i="9"/>
  <c r="K91" i="9"/>
  <c r="T90" i="9"/>
  <c r="V90" i="9" s="1"/>
  <c r="O90" i="9"/>
  <c r="P90" i="9"/>
  <c r="R90" i="9" s="1"/>
  <c r="J90" i="9"/>
  <c r="W90" i="9" s="1"/>
  <c r="Y90" i="9" s="1"/>
  <c r="Y88" i="9"/>
  <c r="T89" i="9"/>
  <c r="V89" i="9" s="1"/>
  <c r="P89" i="9"/>
  <c r="R89" i="9" s="1"/>
  <c r="O89" i="9"/>
  <c r="J89" i="9"/>
  <c r="W89" i="9" s="1"/>
  <c r="Y89" i="9" s="1"/>
  <c r="T88" i="9"/>
  <c r="V88" i="9" s="1"/>
  <c r="P88" i="9"/>
  <c r="R88" i="9" s="1"/>
  <c r="O88" i="9"/>
  <c r="K88" i="9"/>
  <c r="Y86" i="9"/>
  <c r="T87" i="9"/>
  <c r="V87" i="9" s="1"/>
  <c r="O87" i="9"/>
  <c r="P87" i="9"/>
  <c r="R87" i="9" s="1"/>
  <c r="Y87" i="9" s="1"/>
  <c r="K87" i="9"/>
  <c r="T86" i="9"/>
  <c r="V86" i="9" s="1"/>
  <c r="P86" i="9"/>
  <c r="R86" i="9" s="1"/>
  <c r="O86" i="9"/>
  <c r="K86" i="9"/>
  <c r="Y85" i="9"/>
  <c r="T85" i="9"/>
  <c r="V85" i="9" s="1"/>
  <c r="P85" i="9"/>
  <c r="R85" i="9" s="1"/>
  <c r="N85" i="9"/>
  <c r="K85" i="9"/>
  <c r="T84" i="9"/>
  <c r="V84" i="9" s="1"/>
  <c r="P84" i="9"/>
  <c r="R84" i="9" s="1"/>
  <c r="Y84" i="9" s="1"/>
  <c r="O84" i="9"/>
  <c r="K84" i="9"/>
  <c r="Y82" i="9"/>
  <c r="T83" i="9"/>
  <c r="V83" i="9" s="1"/>
  <c r="P83" i="9"/>
  <c r="R83" i="9" s="1"/>
  <c r="Y83" i="9" s="1"/>
  <c r="Y81" i="9"/>
  <c r="O83" i="9"/>
  <c r="K83" i="9"/>
  <c r="T82" i="9"/>
  <c r="V82" i="9" s="1"/>
  <c r="P82" i="9"/>
  <c r="R82" i="9" s="1"/>
  <c r="O82" i="9"/>
  <c r="K82" i="9"/>
  <c r="Y80" i="9"/>
  <c r="T81" i="9"/>
  <c r="V81" i="9" s="1"/>
  <c r="P81" i="9"/>
  <c r="R81" i="9" s="1"/>
  <c r="N81" i="9"/>
  <c r="K81" i="9"/>
  <c r="T80" i="9"/>
  <c r="V80" i="9" s="1"/>
  <c r="P80" i="9"/>
  <c r="R80" i="9" s="1"/>
  <c r="O80" i="9"/>
  <c r="Y78" i="9"/>
  <c r="K80" i="9"/>
  <c r="T79" i="9"/>
  <c r="V79" i="9" s="1"/>
  <c r="P79" i="9"/>
  <c r="R79" i="9" s="1"/>
  <c r="O79" i="9"/>
  <c r="J79" i="9"/>
  <c r="W79" i="9" s="1"/>
  <c r="Y79" i="9" s="1"/>
  <c r="Y77" i="9"/>
  <c r="T78" i="9"/>
  <c r="V78" i="9" s="1"/>
  <c r="P78" i="9"/>
  <c r="R78" i="9" s="1"/>
  <c r="O78" i="9"/>
  <c r="K78" i="9"/>
  <c r="T77" i="9"/>
  <c r="V77" i="9" s="1"/>
  <c r="P77" i="9"/>
  <c r="R77" i="9" s="1"/>
  <c r="O77" i="9"/>
  <c r="K77" i="9"/>
  <c r="Y76" i="9"/>
  <c r="T76" i="9"/>
  <c r="V76" i="9" s="1"/>
  <c r="P76" i="9"/>
  <c r="R76" i="9" s="1"/>
  <c r="O76" i="9"/>
  <c r="K76" i="9"/>
  <c r="Y75" i="9"/>
  <c r="S75" i="9"/>
  <c r="U75" i="9" s="1"/>
  <c r="P75" i="9"/>
  <c r="R75" i="9" s="1"/>
  <c r="O75" i="9"/>
  <c r="K75" i="9"/>
  <c r="Y73" i="9"/>
  <c r="S74" i="9"/>
  <c r="U74" i="9" s="1"/>
  <c r="P74" i="9"/>
  <c r="R74" i="9" s="1"/>
  <c r="Y74" i="9" s="1"/>
  <c r="O74" i="9"/>
  <c r="K74" i="9"/>
  <c r="T73" i="9"/>
  <c r="V73" i="9" s="1"/>
  <c r="O73" i="9"/>
  <c r="P73" i="9"/>
  <c r="R73" i="9" s="1"/>
  <c r="K73" i="9"/>
  <c r="T72" i="9"/>
  <c r="V72" i="9" s="1"/>
  <c r="P72" i="9"/>
  <c r="R72" i="9" s="1"/>
  <c r="O72" i="9"/>
  <c r="J72" i="9"/>
  <c r="W72" i="9" s="1"/>
  <c r="Y72" i="9" s="1"/>
  <c r="S71" i="9"/>
  <c r="U71" i="9" s="1"/>
  <c r="O71" i="9"/>
  <c r="P71" i="9"/>
  <c r="R71" i="9" s="1"/>
  <c r="Y69" i="9"/>
  <c r="J71" i="9"/>
  <c r="W71" i="9" s="1"/>
  <c r="Y70" i="9"/>
  <c r="T70" i="9"/>
  <c r="V70" i="9" s="1"/>
  <c r="P70" i="9"/>
  <c r="R70" i="9" s="1"/>
  <c r="O70" i="9"/>
  <c r="K70" i="9"/>
  <c r="T69" i="9"/>
  <c r="V69" i="9" s="1"/>
  <c r="O69" i="9"/>
  <c r="P69" i="9"/>
  <c r="R69" i="9" s="1"/>
  <c r="K69" i="9"/>
  <c r="Y68" i="9"/>
  <c r="S68" i="9"/>
  <c r="U68" i="9" s="1"/>
  <c r="P68" i="9"/>
  <c r="R68" i="9" s="1"/>
  <c r="O68" i="9"/>
  <c r="K68" i="9"/>
  <c r="Y66" i="9"/>
  <c r="T67" i="9"/>
  <c r="V67" i="9" s="1"/>
  <c r="P67" i="9"/>
  <c r="R67" i="9" s="1"/>
  <c r="N67" i="9"/>
  <c r="X67" i="9" s="1"/>
  <c r="K67" i="9"/>
  <c r="T66" i="9"/>
  <c r="V66" i="9" s="1"/>
  <c r="P66" i="9"/>
  <c r="R66" i="9" s="1"/>
  <c r="O66" i="9"/>
  <c r="K66" i="9"/>
  <c r="Y65" i="9"/>
  <c r="T65" i="9"/>
  <c r="V65" i="9" s="1"/>
  <c r="O65" i="9"/>
  <c r="P65" i="9"/>
  <c r="R65" i="9" s="1"/>
  <c r="K65" i="9"/>
  <c r="T64" i="9"/>
  <c r="V64" i="9" s="1"/>
  <c r="Y61" i="9"/>
  <c r="P64" i="9"/>
  <c r="R64" i="9" s="1"/>
  <c r="O64" i="9"/>
  <c r="J64" i="9"/>
  <c r="W64" i="9" s="1"/>
  <c r="S63" i="9"/>
  <c r="U63" i="9" s="1"/>
  <c r="P63" i="9"/>
  <c r="R63" i="9" s="1"/>
  <c r="N63" i="9"/>
  <c r="J63" i="9"/>
  <c r="W63" i="9" s="1"/>
  <c r="T62" i="9"/>
  <c r="V62" i="9" s="1"/>
  <c r="P62" i="9"/>
  <c r="R62" i="9" s="1"/>
  <c r="Y62" i="9" s="1"/>
  <c r="O62" i="9"/>
  <c r="K62" i="9"/>
  <c r="Y59" i="9"/>
  <c r="T61" i="9"/>
  <c r="V61" i="9" s="1"/>
  <c r="Y60" i="9"/>
  <c r="Y58" i="9"/>
  <c r="P61" i="9"/>
  <c r="R61" i="9" s="1"/>
  <c r="O61" i="9"/>
  <c r="J61" i="9"/>
  <c r="T60" i="9"/>
  <c r="V60" i="9" s="1"/>
  <c r="P60" i="9"/>
  <c r="R60" i="9" s="1"/>
  <c r="O60" i="9"/>
  <c r="K60" i="9"/>
  <c r="S59" i="9"/>
  <c r="U59" i="9" s="1"/>
  <c r="P59" i="9"/>
  <c r="R59" i="9" s="1"/>
  <c r="O59" i="9"/>
  <c r="K59" i="9"/>
  <c r="T58" i="9"/>
  <c r="V58" i="9" s="1"/>
  <c r="P58" i="9"/>
  <c r="R58" i="9" s="1"/>
  <c r="O58" i="9"/>
  <c r="K58" i="9"/>
  <c r="T57" i="9"/>
  <c r="V57" i="9" s="1"/>
  <c r="O57" i="9"/>
  <c r="P57" i="9"/>
  <c r="R57" i="9" s="1"/>
  <c r="J57" i="9"/>
  <c r="W57" i="9" s="1"/>
  <c r="T56" i="9"/>
  <c r="V56" i="9" s="1"/>
  <c r="N56" i="9"/>
  <c r="P56" i="9"/>
  <c r="R56" i="9" s="1"/>
  <c r="Y56" i="9" s="1"/>
  <c r="K56" i="9"/>
  <c r="T55" i="9"/>
  <c r="V55" i="9" s="1"/>
  <c r="P55" i="9"/>
  <c r="R55" i="9" s="1"/>
  <c r="Y55" i="9" s="1"/>
  <c r="O55" i="9"/>
  <c r="K55" i="9"/>
  <c r="Y54" i="9"/>
  <c r="T54" i="9"/>
  <c r="V54" i="9" s="1"/>
  <c r="P54" i="9"/>
  <c r="R54" i="9" s="1"/>
  <c r="N54" i="9"/>
  <c r="K54" i="9"/>
  <c r="T53" i="9"/>
  <c r="V53" i="9" s="1"/>
  <c r="P53" i="9"/>
  <c r="R53" i="9" s="1"/>
  <c r="O53" i="9"/>
  <c r="J53" i="9"/>
  <c r="W53" i="9" s="1"/>
  <c r="Y53" i="9" s="1"/>
  <c r="Y51" i="9"/>
  <c r="S52" i="9"/>
  <c r="U52" i="9" s="1"/>
  <c r="P52" i="9"/>
  <c r="R52" i="9" s="1"/>
  <c r="Y52" i="9" s="1"/>
  <c r="Y50" i="9"/>
  <c r="O52" i="9"/>
  <c r="K52" i="9"/>
  <c r="T51" i="9"/>
  <c r="V51" i="9" s="1"/>
  <c r="O51" i="9"/>
  <c r="P51" i="9"/>
  <c r="R51" i="9" s="1"/>
  <c r="K51" i="9"/>
  <c r="Y48" i="9"/>
  <c r="T50" i="9"/>
  <c r="V50" i="9" s="1"/>
  <c r="P50" i="9"/>
  <c r="R50" i="9" s="1"/>
  <c r="O50" i="9"/>
  <c r="K50" i="9"/>
  <c r="Y49" i="9"/>
  <c r="T49" i="9"/>
  <c r="V49" i="9" s="1"/>
  <c r="P49" i="9"/>
  <c r="R49" i="9" s="1"/>
  <c r="O49" i="9"/>
  <c r="K49" i="9"/>
  <c r="S48" i="9"/>
  <c r="U48" i="9" s="1"/>
  <c r="P48" i="9"/>
  <c r="R48" i="9" s="1"/>
  <c r="O48" i="9"/>
  <c r="Y47" i="9"/>
  <c r="K48" i="9"/>
  <c r="T47" i="9"/>
  <c r="V47" i="9" s="1"/>
  <c r="P47" i="9"/>
  <c r="R47" i="9" s="1"/>
  <c r="O47" i="9"/>
  <c r="K47" i="9"/>
  <c r="Y44" i="9"/>
  <c r="Y45" i="9"/>
  <c r="T46" i="9"/>
  <c r="V46" i="9" s="1"/>
  <c r="P46" i="9"/>
  <c r="R46" i="9" s="1"/>
  <c r="Y46" i="9" s="1"/>
  <c r="O46" i="9"/>
  <c r="K46" i="9"/>
  <c r="S45" i="9"/>
  <c r="U45" i="9" s="1"/>
  <c r="P45" i="9"/>
  <c r="R45" i="9" s="1"/>
  <c r="O45" i="9"/>
  <c r="K45" i="9"/>
  <c r="T44" i="9"/>
  <c r="V44" i="9" s="1"/>
  <c r="P44" i="9"/>
  <c r="R44" i="9" s="1"/>
  <c r="O44" i="9"/>
  <c r="K44" i="9"/>
  <c r="Y42" i="9"/>
  <c r="T43" i="9"/>
  <c r="V43" i="9" s="1"/>
  <c r="P43" i="9"/>
  <c r="R43" i="9" s="1"/>
  <c r="Y43" i="9" s="1"/>
  <c r="O43" i="9"/>
  <c r="K43" i="9"/>
  <c r="T42" i="9"/>
  <c r="V42" i="9" s="1"/>
  <c r="P42" i="9"/>
  <c r="R42" i="9" s="1"/>
  <c r="O42" i="9"/>
  <c r="K42" i="9"/>
  <c r="Y40" i="9"/>
  <c r="Y41" i="9"/>
  <c r="T41" i="9"/>
  <c r="V41" i="9" s="1"/>
  <c r="P41" i="9"/>
  <c r="R41" i="9" s="1"/>
  <c r="O41" i="9"/>
  <c r="K41" i="9"/>
  <c r="T40" i="9"/>
  <c r="V40" i="9" s="1"/>
  <c r="P40" i="9"/>
  <c r="R40" i="9" s="1"/>
  <c r="O40" i="9"/>
  <c r="K40" i="9"/>
  <c r="Y39" i="9"/>
  <c r="Y37" i="9"/>
  <c r="S39" i="9"/>
  <c r="U39" i="9" s="1"/>
  <c r="P39" i="9"/>
  <c r="R39" i="9" s="1"/>
  <c r="O39" i="9"/>
  <c r="K39" i="9"/>
  <c r="Y36" i="9"/>
  <c r="T38" i="9"/>
  <c r="V38" i="9" s="1"/>
  <c r="P38" i="9"/>
  <c r="R38" i="9" s="1"/>
  <c r="Y38" i="9" s="1"/>
  <c r="N38" i="9"/>
  <c r="K38" i="9"/>
  <c r="Y35" i="9"/>
  <c r="T37" i="9"/>
  <c r="V37" i="9" s="1"/>
  <c r="P37" i="9"/>
  <c r="R37" i="9" s="1"/>
  <c r="N37" i="9"/>
  <c r="K37" i="9"/>
  <c r="T36" i="9"/>
  <c r="V36" i="9" s="1"/>
  <c r="O36" i="9"/>
  <c r="P36" i="9"/>
  <c r="R36" i="9" s="1"/>
  <c r="K36" i="9"/>
  <c r="Y33" i="9"/>
  <c r="T35" i="9"/>
  <c r="V35" i="9" s="1"/>
  <c r="P35" i="9"/>
  <c r="R35" i="9" s="1"/>
  <c r="O35" i="9"/>
  <c r="Y34" i="9"/>
  <c r="K35" i="9"/>
  <c r="T34" i="9"/>
  <c r="V34" i="9" s="1"/>
  <c r="P34" i="9"/>
  <c r="R34" i="9" s="1"/>
  <c r="O34" i="9"/>
  <c r="K34" i="9"/>
  <c r="T33" i="9"/>
  <c r="V33" i="9" s="1"/>
  <c r="P33" i="9"/>
  <c r="R33" i="9" s="1"/>
  <c r="Y31" i="9"/>
  <c r="O33" i="9"/>
  <c r="K33" i="9"/>
  <c r="S32" i="9"/>
  <c r="U32" i="9" s="1"/>
  <c r="P32" i="9"/>
  <c r="R32" i="9" s="1"/>
  <c r="Y32" i="9" s="1"/>
  <c r="O32" i="9"/>
  <c r="K32" i="9"/>
  <c r="Y29" i="9"/>
  <c r="T31" i="9"/>
  <c r="V31" i="9" s="1"/>
  <c r="P31" i="9"/>
  <c r="R31" i="9" s="1"/>
  <c r="O31" i="9"/>
  <c r="J31" i="9"/>
  <c r="T30" i="9"/>
  <c r="V30" i="9" s="1"/>
  <c r="P30" i="9"/>
  <c r="R30" i="9" s="1"/>
  <c r="N30" i="9"/>
  <c r="X30" i="9" s="1"/>
  <c r="Y30" i="9" s="1"/>
  <c r="K30" i="9"/>
  <c r="S29" i="9"/>
  <c r="U29" i="9" s="1"/>
  <c r="P29" i="9"/>
  <c r="R29" i="9" s="1"/>
  <c r="O29" i="9"/>
  <c r="K29" i="9"/>
  <c r="T28" i="9"/>
  <c r="V28" i="9" s="1"/>
  <c r="O28" i="9"/>
  <c r="P28" i="9"/>
  <c r="R28" i="9" s="1"/>
  <c r="Y28" i="9" s="1"/>
  <c r="K28" i="9"/>
  <c r="T27" i="9"/>
  <c r="V27" i="9" s="1"/>
  <c r="P27" i="9"/>
  <c r="R27" i="9" s="1"/>
  <c r="Y27" i="9" s="1"/>
  <c r="O27" i="9"/>
  <c r="J27" i="9"/>
  <c r="T26" i="9"/>
  <c r="V26" i="9" s="1"/>
  <c r="P26" i="9"/>
  <c r="R26" i="9" s="1"/>
  <c r="O26" i="9"/>
  <c r="J26" i="9"/>
  <c r="W26" i="9" s="1"/>
  <c r="Y26" i="9" s="1"/>
  <c r="T25" i="9"/>
  <c r="V25" i="9" s="1"/>
  <c r="P25" i="9"/>
  <c r="R25" i="9" s="1"/>
  <c r="Y25" i="9" s="1"/>
  <c r="O25" i="9"/>
  <c r="K25" i="9"/>
  <c r="Y24" i="9"/>
  <c r="T24" i="9"/>
  <c r="V24" i="9" s="1"/>
  <c r="P24" i="9"/>
  <c r="R24" i="9" s="1"/>
  <c r="N24" i="9"/>
  <c r="K24" i="9"/>
  <c r="T23" i="9"/>
  <c r="V23" i="9" s="1"/>
  <c r="P23" i="9"/>
  <c r="R23" i="9" s="1"/>
  <c r="O23" i="9"/>
  <c r="J23" i="9"/>
  <c r="W23" i="9" s="1"/>
  <c r="Y23" i="9" s="1"/>
  <c r="Y21" i="9"/>
  <c r="Y22" i="9"/>
  <c r="Y20" i="9"/>
  <c r="T22" i="9"/>
  <c r="V22" i="9" s="1"/>
  <c r="P22" i="9"/>
  <c r="R22" i="9" s="1"/>
  <c r="O22" i="9"/>
  <c r="K22" i="9"/>
  <c r="T21" i="9"/>
  <c r="V21" i="9" s="1"/>
  <c r="P21" i="9"/>
  <c r="R21" i="9" s="1"/>
  <c r="O21" i="9"/>
  <c r="K21" i="9"/>
  <c r="S20" i="9"/>
  <c r="U20" i="9" s="1"/>
  <c r="P20" i="9"/>
  <c r="R20" i="9" s="1"/>
  <c r="O20" i="9"/>
  <c r="K20" i="9"/>
  <c r="S19" i="9"/>
  <c r="U19" i="9" s="1"/>
  <c r="O19" i="9"/>
  <c r="P19" i="9"/>
  <c r="R19" i="9" s="1"/>
  <c r="Y19" i="9" s="1"/>
  <c r="K19" i="9"/>
  <c r="T18" i="9"/>
  <c r="V18" i="9" s="1"/>
  <c r="P18" i="9"/>
  <c r="R18" i="9" s="1"/>
  <c r="Y18" i="9" s="1"/>
  <c r="O18" i="9"/>
  <c r="K18" i="9"/>
  <c r="Y15" i="9"/>
  <c r="T17" i="9"/>
  <c r="V17" i="9" s="1"/>
  <c r="P17" i="9"/>
  <c r="R17" i="9" s="1"/>
  <c r="Y17" i="9" s="1"/>
  <c r="O17" i="9"/>
  <c r="K17" i="9"/>
  <c r="S16" i="9"/>
  <c r="U16" i="9" s="1"/>
  <c r="P16" i="9"/>
  <c r="R16" i="9" s="1"/>
  <c r="Y16" i="9" s="1"/>
  <c r="N16" i="9"/>
  <c r="K16" i="9"/>
  <c r="T15" i="9"/>
  <c r="V15" i="9" s="1"/>
  <c r="P15" i="9"/>
  <c r="R15" i="9" s="1"/>
  <c r="O15" i="9"/>
  <c r="K15" i="9"/>
  <c r="T14" i="9"/>
  <c r="V14" i="9" s="1"/>
  <c r="P14" i="9"/>
  <c r="R14" i="9" s="1"/>
  <c r="Y14" i="9" s="1"/>
  <c r="O14" i="9"/>
  <c r="K14" i="9"/>
  <c r="Y13" i="9"/>
  <c r="T13" i="9"/>
  <c r="V13" i="9" s="1"/>
  <c r="Y10" i="9"/>
  <c r="P13" i="9"/>
  <c r="R13" i="9" s="1"/>
  <c r="O13" i="9"/>
  <c r="K13" i="9"/>
  <c r="T12" i="9"/>
  <c r="V12" i="9" s="1"/>
  <c r="P12" i="9"/>
  <c r="R12" i="9" s="1"/>
  <c r="O12" i="9"/>
  <c r="J12" i="9"/>
  <c r="W12" i="9" s="1"/>
  <c r="Y12" i="9" s="1"/>
  <c r="Y9" i="9"/>
  <c r="T11" i="9"/>
  <c r="V11" i="9" s="1"/>
  <c r="P11" i="9"/>
  <c r="R11" i="9" s="1"/>
  <c r="Y11" i="9" s="1"/>
  <c r="O11" i="9"/>
  <c r="K11" i="9"/>
  <c r="T10" i="9"/>
  <c r="V10" i="9" s="1"/>
  <c r="P10" i="9"/>
  <c r="R10" i="9" s="1"/>
  <c r="O10" i="9"/>
  <c r="K10" i="9"/>
  <c r="T9" i="9"/>
  <c r="V9" i="9" s="1"/>
  <c r="P9" i="9"/>
  <c r="R9" i="9" s="1"/>
  <c r="O9" i="9"/>
  <c r="K9" i="9"/>
  <c r="T8" i="9"/>
  <c r="V8" i="9" s="1"/>
  <c r="Y5" i="9"/>
  <c r="P8" i="9"/>
  <c r="R8" i="9" s="1"/>
  <c r="O8" i="9"/>
  <c r="J8" i="9"/>
  <c r="W8" i="9" s="1"/>
  <c r="T7" i="9"/>
  <c r="V7" i="9" s="1"/>
  <c r="P7" i="9"/>
  <c r="R7" i="9" s="1"/>
  <c r="N7" i="9"/>
  <c r="X7" i="9" s="1"/>
  <c r="K7" i="9"/>
  <c r="T6" i="9"/>
  <c r="V6" i="9" s="1"/>
  <c r="P6" i="9"/>
  <c r="R6" i="9" s="1"/>
  <c r="O6" i="9"/>
  <c r="J6" i="9"/>
  <c r="W6" i="9" s="1"/>
  <c r="Y6" i="9" s="1"/>
  <c r="T5" i="9"/>
  <c r="V5" i="9" s="1"/>
  <c r="P5" i="9"/>
  <c r="O5" i="9"/>
  <c r="K5" i="9"/>
  <c r="A22" i="10" l="1"/>
  <c r="A23" i="10"/>
  <c r="A21" i="10"/>
  <c r="D16" i="10"/>
  <c r="H16" i="10"/>
  <c r="J16" i="10" s="1"/>
  <c r="D15" i="10"/>
  <c r="H15" i="10"/>
  <c r="J15" i="10" s="1"/>
  <c r="D14" i="10"/>
  <c r="H14" i="10"/>
  <c r="J14" i="10" s="1"/>
  <c r="R5" i="9"/>
  <c r="G9" i="10" s="1"/>
  <c r="A9" i="10"/>
  <c r="Y71" i="9"/>
  <c r="Y67" i="9"/>
  <c r="Y63" i="9"/>
  <c r="Y64" i="9"/>
  <c r="Y57" i="9"/>
  <c r="Y7" i="9"/>
  <c r="Y8" i="9"/>
  <c r="J9" i="10" l="1"/>
</calcChain>
</file>

<file path=xl/sharedStrings.xml><?xml version="1.0" encoding="utf-8"?>
<sst xmlns="http://schemas.openxmlformats.org/spreadsheetml/2006/main" count="2991" uniqueCount="316">
  <si>
    <t>Lectura ejecutiva</t>
  </si>
  <si>
    <t>Mes</t>
  </si>
  <si>
    <t>Fixed esperado h</t>
  </si>
  <si>
    <t>Fixed real h</t>
  </si>
  <si>
    <t>Desviación h</t>
  </si>
  <si>
    <t>Julio</t>
  </si>
  <si>
    <t>Agosto</t>
  </si>
  <si>
    <t>Septiembre</t>
  </si>
  <si>
    <t>Equipo</t>
  </si>
  <si>
    <t>Persona planeada</t>
  </si>
  <si>
    <t>% Fixed plan</t>
  </si>
  <si>
    <t>% RET plan</t>
  </si>
  <si>
    <t>Capacidad h</t>
  </si>
  <si>
    <t>RET real h</t>
  </si>
  <si>
    <t>% Fixed real</t>
  </si>
  <si>
    <t>Estado</t>
  </si>
  <si>
    <t>Excluido</t>
  </si>
  <si>
    <t>Los Dioses</t>
  </si>
  <si>
    <t>Gerson Nicolas Pineda Lara</t>
  </si>
  <si>
    <t>No</t>
  </si>
  <si>
    <t>Diego Andres Saavedra Perez</t>
  </si>
  <si>
    <t>Harold Abdullah Lamphrey Munoz</t>
  </si>
  <si>
    <t>Anomalias</t>
  </si>
  <si>
    <t>Diana Patricia Aldana Moreno</t>
  </si>
  <si>
    <t>Medicamentos + Notificacion</t>
  </si>
  <si>
    <t>Kevin Camilo Rincon Bohorquez</t>
  </si>
  <si>
    <t>Angela Maria Santos Hernandez</t>
  </si>
  <si>
    <t>Cristian David Casas Diaz</t>
  </si>
  <si>
    <t>Harold Burbano</t>
  </si>
  <si>
    <t>Infraestructura</t>
  </si>
  <si>
    <t>Daniel Castillo Giraldo</t>
  </si>
  <si>
    <t>Simon Calderon Lopez</t>
  </si>
  <si>
    <t>Jorge Humberto Sierra Laiton</t>
  </si>
  <si>
    <t>Javier Steven Barrera Toro</t>
  </si>
  <si>
    <t>Ricardo Sandoval</t>
  </si>
  <si>
    <t>Miguel Simbaqueba</t>
  </si>
  <si>
    <t>Evolucion Fase II</t>
  </si>
  <si>
    <t>Karen Julieth Diaz Cardozo</t>
  </si>
  <si>
    <t>Nicole Gabriela Gomez Higuera</t>
  </si>
  <si>
    <t>Jessica Alejandra Rivera Garzon</t>
  </si>
  <si>
    <t>Dispositivos medicos + Procedimientos No Quirurgicos</t>
  </si>
  <si>
    <t>Manuel Alejandro Polo Gonzalez</t>
  </si>
  <si>
    <t>Faider Camilo Trujillo Olaya</t>
  </si>
  <si>
    <t>Apoyos diagnostico</t>
  </si>
  <si>
    <t>Nicolas David Sanchez Yanez</t>
  </si>
  <si>
    <t>Cristian Paul Angel Vahos</t>
  </si>
  <si>
    <t>Tomas Carrillo Garcia</t>
  </si>
  <si>
    <t>SGA</t>
  </si>
  <si>
    <t>Santiago Jose Garzon Lopez</t>
  </si>
  <si>
    <t>Johan David Espitia Pachon</t>
  </si>
  <si>
    <t>Franklin Julian Gonzalez Perez</t>
  </si>
  <si>
    <t>Valentina Villegas Correal</t>
  </si>
  <si>
    <t>Consultas, Estancias y Dashboard</t>
  </si>
  <si>
    <t>Maryith Viviana Garzon Silva</t>
  </si>
  <si>
    <t>Luis Antonio Zuluaga Ramirez</t>
  </si>
  <si>
    <t>Daniel Santiago Avila Medina</t>
  </si>
  <si>
    <t>Contratistas</t>
  </si>
  <si>
    <t>Etelvina Mejia</t>
  </si>
  <si>
    <t>Sí</t>
  </si>
  <si>
    <t>Myriam Pulido</t>
  </si>
  <si>
    <t>Claudia Quintero</t>
  </si>
  <si>
    <t>Martha Ardila</t>
  </si>
  <si>
    <t>Leonardo Beltran</t>
  </si>
  <si>
    <t>Anomalías y controles</t>
  </si>
  <si>
    <t>Incluye anomalías del período y controles históricos del archivo completo cuando se indica.</t>
  </si>
  <si>
    <t>Ámbito</t>
  </si>
  <si>
    <t>Tipo</t>
  </si>
  <si>
    <t>Severidad</t>
  </si>
  <si>
    <t>Fecha/Mes</t>
  </si>
  <si>
    <t>Persona</t>
  </si>
  <si>
    <t>Valor</t>
  </si>
  <si>
    <t>Detalle</t>
  </si>
  <si>
    <t>Acción sugerida</t>
  </si>
  <si>
    <t>Posterior al corte</t>
  </si>
  <si>
    <t>Fecha futura</t>
  </si>
  <si>
    <t>Alta</t>
  </si>
  <si>
    <t>2026-09-11</t>
  </si>
  <si>
    <t>ZAMBRANO, JUAN</t>
  </si>
  <si>
    <t>Carga Fixed después del corte 2026-09-04; excluida del cumplimiento.</t>
  </si>
  <si>
    <t>Validar si es carga anticipada o fecha errónea.</t>
  </si>
  <si>
    <t>2026-09-10</t>
  </si>
  <si>
    <t>2026-09-09</t>
  </si>
  <si>
    <t>2026-09-08</t>
  </si>
  <si>
    <t>2026-09-07</t>
  </si>
  <si>
    <t>Jul-Sep 4</t>
  </si>
  <si>
    <t>Jornada &gt;12 h</t>
  </si>
  <si>
    <t>2026-08-24</t>
  </si>
  <si>
    <t>PINEDA LARA, GERSON NICOLAS</t>
  </si>
  <si>
    <t>Total diario Fixed superior a 12 horas.</t>
  </si>
  <si>
    <t>Revisar duplicidad o distribución de la jornada.</t>
  </si>
  <si>
    <t>2026-07-29</t>
  </si>
  <si>
    <t>GARZON LOPEZ, SANTIAGO JOSE</t>
  </si>
  <si>
    <t>Fin de semana</t>
  </si>
  <si>
    <t>Media</t>
  </si>
  <si>
    <t>2026-08-23</t>
  </si>
  <si>
    <t>SIERRA, JORGE</t>
  </si>
  <si>
    <t>Horas Fixed registradas sábado o domingo.</t>
  </si>
  <si>
    <t>Confirmar autorización y realidad del trabajo.</t>
  </si>
  <si>
    <t>2026-08-16</t>
  </si>
  <si>
    <t>2026-08-08</t>
  </si>
  <si>
    <t>2026-08-01</t>
  </si>
  <si>
    <t>ALGARRA, NICOLAS</t>
  </si>
  <si>
    <t>GARCIA FLOREZ, JUAN FERNANDO</t>
  </si>
  <si>
    <t>2026-07-26</t>
  </si>
  <si>
    <t>SARMIENTO LEON, LUISA FERNANDA</t>
  </si>
  <si>
    <t>2026-07-25</t>
  </si>
  <si>
    <t>GUTIERREZ HERNANDEZ, CRISTHYAN RAUL</t>
  </si>
  <si>
    <t>CASTILLO GIRALDO, DANIEL</t>
  </si>
  <si>
    <t>2026-07-19</t>
  </si>
  <si>
    <t>2026-07-18</t>
  </si>
  <si>
    <t>2026-07-04</t>
  </si>
  <si>
    <t>Persona no planeada</t>
  </si>
  <si>
    <t>VIVAS, JULIAN</t>
  </si>
  <si>
    <t>Tiene horas Fixed pero no aparece en la planeación.</t>
  </si>
  <si>
    <t>Incluir en la planeación o validar imputación.</t>
  </si>
  <si>
    <t>CHICACAUSA, JUANA</t>
  </si>
  <si>
    <t>GOMEZ SUAREZ, OSCAR ALEJANDRO</t>
  </si>
  <si>
    <t>LOPEZ, CHRISTIAN</t>
  </si>
  <si>
    <t>HURTADO, MAURICIO</t>
  </si>
  <si>
    <t>SANCHEZ ROJAS, CRISTIAN DAVIAN</t>
  </si>
  <si>
    <t>GARCIA RODRIGUEZ, JUAN PABLO</t>
  </si>
  <si>
    <t>MARTINEZ OSPINA, YEISON MANUEL GERARDO</t>
  </si>
  <si>
    <t>LALLE MONTAÑA, DANIELA</t>
  </si>
  <si>
    <t>MORA, PEDRO</t>
  </si>
  <si>
    <t>ORTIZ ORTIZ, LUIS EDUARDO</t>
  </si>
  <si>
    <t>BARBOSA MÉNDEZ, FABIÁN SANTIAGO</t>
  </si>
  <si>
    <t>ESPITIA COBOS, JOHAN ALEJANDRO</t>
  </si>
  <si>
    <t>ROJAS ROJAS, MOISES ENRIQUE</t>
  </si>
  <si>
    <t>ARDILA, ALEJANDRA</t>
  </si>
  <si>
    <t>HURTADO HERRERA, WILSON ANDRES</t>
  </si>
  <si>
    <t>Histórico completo</t>
  </si>
  <si>
    <t>Posible duplicado exacto</t>
  </si>
  <si>
    <t>01/23/2026</t>
  </si>
  <si>
    <t>2 registros idénticos de 8.00 h.</t>
  </si>
  <si>
    <t>Validar y reversar duplicado si aplica.</t>
  </si>
  <si>
    <t>01/21/2026</t>
  </si>
  <si>
    <t>2 registros idénticos de 9.00 h.</t>
  </si>
  <si>
    <t>12/12/2025</t>
  </si>
  <si>
    <t>GÓMEZ AGUDELO, JUAN ESTEBAN</t>
  </si>
  <si>
    <t>12/11/2025</t>
  </si>
  <si>
    <t>12/10/2025</t>
  </si>
  <si>
    <t>12/09/2025</t>
  </si>
  <si>
    <t>Planeación</t>
  </si>
  <si>
    <t>Asignación incompleta</t>
  </si>
  <si>
    <t>Fixed + RET no suma 100%; hay capacidad sin destino explícito.</t>
  </si>
  <si>
    <t>Aclarar el porcentaje restante.</t>
  </si>
  <si>
    <t>Carga contra plan 0%</t>
  </si>
  <si>
    <t>Registró horas Fixed aunque la planeación mensual es 0%.</t>
  </si>
  <si>
    <t>Validar imputación o actualizar planeación.</t>
  </si>
  <si>
    <t>Conciliación</t>
  </si>
  <si>
    <t>Planeación normalizada</t>
  </si>
  <si>
    <t>Primer porcentaje = implementación Fixed; segundo porcentaje = operación RET.</t>
  </si>
  <si>
    <t>Valor original</t>
  </si>
  <si>
    <t>% Fixed</t>
  </si>
  <si>
    <t>% RET</t>
  </si>
  <si>
    <t>% asignado</t>
  </si>
  <si>
    <t>% no asignado</t>
  </si>
  <si>
    <t>100%/0%</t>
  </si>
  <si>
    <t>90% / 10%</t>
  </si>
  <si>
    <t>50%/0</t>
  </si>
  <si>
    <t>0</t>
  </si>
  <si>
    <t>50% / 10%</t>
  </si>
  <si>
    <t>80% / 20%</t>
  </si>
  <si>
    <t>10% / 50%</t>
  </si>
  <si>
    <t>50% / 50%</t>
  </si>
  <si>
    <t>70% / 30%</t>
  </si>
  <si>
    <t>0%/100%</t>
  </si>
  <si>
    <t>0.5</t>
  </si>
  <si>
    <t>Mapeo de personas</t>
  </si>
  <si>
    <t>Correspondencia aplicada entre nombres de planeación y nombres de OpenAir.</t>
  </si>
  <si>
    <t>Nombre OpenAir</t>
  </si>
  <si>
    <t>Confianza</t>
  </si>
  <si>
    <t>Comentario</t>
  </si>
  <si>
    <t>SAAVEDRA PEREZ, DIEGO ANDRES</t>
  </si>
  <si>
    <t>LAMPHREY MUÑOZ, HAROLD ABDULLAH</t>
  </si>
  <si>
    <t>ALDANA MORENO, DIANA</t>
  </si>
  <si>
    <t>RINCON BOHORQUEZ, KEVIN CAMILO</t>
  </si>
  <si>
    <t>SANTOS, ANGELA</t>
  </si>
  <si>
    <t>CASAS, CRISTIAN</t>
  </si>
  <si>
    <t>BURBANO, HAROLD</t>
  </si>
  <si>
    <t>CALDERON, SIMON</t>
  </si>
  <si>
    <t>BARRERA, JAVIER</t>
  </si>
  <si>
    <t>SANDOVAL, RICARDO</t>
  </si>
  <si>
    <t>SIMBAQUEBA, MIGUEL</t>
  </si>
  <si>
    <t>DIAZ, KAREN</t>
  </si>
  <si>
    <t>GOMEZ, NICOLE</t>
  </si>
  <si>
    <t>RIVERA, JESSICA</t>
  </si>
  <si>
    <t>GONZALEZ, MANUEL</t>
  </si>
  <si>
    <t>TRUJILLO, FAIDER</t>
  </si>
  <si>
    <t>SANCHEZ YAÑEZ, NICOLAS DAVID</t>
  </si>
  <si>
    <t>ANGEL VAHOS, CRISTIAN PAUL</t>
  </si>
  <si>
    <t>CARRILLO, TOMAS</t>
  </si>
  <si>
    <t>ESPITIA PACHON, JOHAN DAVID</t>
  </si>
  <si>
    <t>GONZALEZ, FRANKLIN</t>
  </si>
  <si>
    <t>Revisar mapeo</t>
  </si>
  <si>
    <t>VILLEGAS CORREAL, VALENTINA</t>
  </si>
  <si>
    <t>GARZON SILVA, MARYITH VIVIANA</t>
  </si>
  <si>
    <t>ZULUAGA, LUIS</t>
  </si>
  <si>
    <t>AVILA, DANIEL</t>
  </si>
  <si>
    <t>Auditoría/contratista: no se espera carga</t>
  </si>
  <si>
    <t>Fuentes, alcance y supuestos</t>
  </si>
  <si>
    <t>Trazabilidad del análisis y criterios aplicados.</t>
  </si>
  <si>
    <t>Elemento</t>
  </si>
  <si>
    <t>Uso</t>
  </si>
  <si>
    <t>Observación</t>
  </si>
  <si>
    <t>Fuente</t>
  </si>
  <si>
    <t>C:\Users\Juana Chicacausa\OneDrive - Blend 360\Escritorio\Git\adr-project-control-P2457\Control CET\Input\Planeación equipo 20260803 (1).xlsx</t>
  </si>
  <si>
    <t>Porcentajes mensuales Fixed/RET</t>
  </si>
  <si>
    <t>Julio a diciembre</t>
  </si>
  <si>
    <t>Fixed</t>
  </si>
  <si>
    <t>C:\Users\Juana Chicacausa\OneDrive - Blend 360\Escritorio\Git\adr-project-control-P2457\Control CET\Input\Solo Hora Fixed 20260904.csv</t>
  </si>
  <si>
    <t>Horas de implementación</t>
  </si>
  <si>
    <t>Fuente principal de Fixed</t>
  </si>
  <si>
    <t>RET</t>
  </si>
  <si>
    <t>Supuesto</t>
  </si>
  <si>
    <t>Corte del análisis: 2026-09-04, inferido del nombre del archivo; registros posteriores se excluyen y se reportan como futuros.</t>
  </si>
  <si>
    <t>Para septiembre, la capacidad esperada se prorratea del 1 al 4 de septiembre.</t>
  </si>
  <si>
    <t>La proporción real es Fixed/(Fixed+RET). Cuando no hay horas en ambos proyectos, queda vacía.</t>
  </si>
  <si>
    <t>Las personas bajo la sección Contratistas se excluyen de alertas de ausencia por instrucción del usuario sobre auditoras que no registran horas.</t>
  </si>
  <si>
    <t>Umbral de desviación: más de 10% de las horas esperadas, con mínimo de 8 horas; o más de 10 puntos porcentuales en la mezcla Fixed/RET.</t>
  </si>
  <si>
    <t>Limitación</t>
  </si>
  <si>
    <t>Capacidad</t>
  </si>
  <si>
    <t>Puede explicar parte de las desviaciones.</t>
  </si>
  <si>
    <t>Control</t>
  </si>
  <si>
    <t>9 registros están solo en Solo Hora Fixed y 0 solo en Horas ADRES.</t>
  </si>
  <si>
    <t>Revisar filtros de extracción.</t>
  </si>
  <si>
    <t>Calendario laboral Colombia 2026</t>
  </si>
  <si>
    <t>Jornada: lunes a jueves 8,5 h; viernes 8 h. Festivos nacionales descontados. Corte: 2026-09-04.</t>
  </si>
  <si>
    <t>Fecha</t>
  </si>
  <si>
    <t>Día</t>
  </si>
  <si>
    <t>Es festivo</t>
  </si>
  <si>
    <t>Festivo</t>
  </si>
  <si>
    <t>Horas programadas</t>
  </si>
  <si>
    <t>Horas disponibles</t>
  </si>
  <si>
    <t>miércoles</t>
  </si>
  <si>
    <t>jueves</t>
  </si>
  <si>
    <t>viernes</t>
  </si>
  <si>
    <t>sábado</t>
  </si>
  <si>
    <t>domingo</t>
  </si>
  <si>
    <t>lunes</t>
  </si>
  <si>
    <t>martes</t>
  </si>
  <si>
    <t>Nuestra Señora del Rosario de Chiquinquirá (trasladado)</t>
  </si>
  <si>
    <t>Día de la Independencia</t>
  </si>
  <si>
    <t>Batalla de Boyacá</t>
  </si>
  <si>
    <t>Asunción de la Virgen (trasladado)</t>
  </si>
  <si>
    <t>Fuentes</t>
  </si>
  <si>
    <t>Ley 2578 de 2026</t>
  </si>
  <si>
    <t>https://www.suin-juriscol.gov.co/viewDocument.asp?id=30056513</t>
  </si>
  <si>
    <t>Código Sustantivo, art. 177</t>
  </si>
  <si>
    <t>https://www.cancilleria.gov.co/normograma/compilacion/docs/codigo_sustantivo_trabajo.htm</t>
  </si>
  <si>
    <t>BanRep: Asunción 17-08-2026</t>
  </si>
  <si>
    <t>https://www.banrep.gov.co/es/feriado-bancario/asuncion-virgen-2025</t>
  </si>
  <si>
    <t>Capacidad: lunes a jueves 8,5 horas y viernes 8 horas (42 horas semanales); se descuentan festivos nacionales de Colombia.</t>
  </si>
  <si>
    <t>Se descontaron festivos nacionales. No se descontaron vacaciones, incapacidades, licencias, permisos ni PTO.</t>
  </si>
  <si>
    <t>Fuente de horas RET - OpenAir Operación</t>
  </si>
  <si>
    <t>Fuente exclusiva para RET real h. Los registros fuera de julio a 2026-09-04 se conservan, pero no se incluyen.</t>
  </si>
  <si>
    <t>Usuario</t>
  </si>
  <si>
    <t>Proyecto</t>
  </si>
  <si>
    <t>Horas</t>
  </si>
  <si>
    <t>Incluido en análisis</t>
  </si>
  <si>
    <t>CO - Adres - Operación Auditoria Cuentas Medicas - Ret</t>
  </si>
  <si>
    <t>BERNAL, HERNANDO</t>
  </si>
  <si>
    <t>ROJAS CHARRY, DIANA CLEMENCIA</t>
  </si>
  <si>
    <t>SIATAMA, DAVID</t>
  </si>
  <si>
    <t>ESPINO, JOHAN</t>
  </si>
  <si>
    <t>AGUILERA, ARMANDO</t>
  </si>
  <si>
    <t>RODRIGUEZ RUBIO, SERGIO</t>
  </si>
  <si>
    <t>RUBIANO, JONNATAN</t>
  </si>
  <si>
    <t>C:\Users\Juana Chicacausa\OneDrive - Blend 360\Escritorio\Git\adr-operation-project-control-P2847\Control CET\Input\20260804 Horas OpenAir.csv</t>
  </si>
  <si>
    <t>Horas reales de operación RET</t>
  </si>
  <si>
    <t>Única fuente usada para RET real h; corte 2026-09-04</t>
  </si>
  <si>
    <t>Cumplimiento integral Fixed y RET</t>
  </si>
  <si>
    <t>Horas esperadas = capacidad neta x porcentaje planeado. Se analizan volumen, cumplimiento y mezcla de ambas líneas. Corte: 2026-09-04.</t>
  </si>
  <si>
    <t>Desv. Fixed h</t>
  </si>
  <si>
    <t>Cumpl. Fixed</t>
  </si>
  <si>
    <t>RET esperado h</t>
  </si>
  <si>
    <t>Desv. RET h</t>
  </si>
  <si>
    <t>Cumpl. RET</t>
  </si>
  <si>
    <t>Total esperado h</t>
  </si>
  <si>
    <t>Total real h</t>
  </si>
  <si>
    <t>Desv. total h</t>
  </si>
  <si>
    <t>% RET real</t>
  </si>
  <si>
    <t>Desv. Fixed pp</t>
  </si>
  <si>
    <t>Desv. RET pp</t>
  </si>
  <si>
    <t>Estado Fixed</t>
  </si>
  <si>
    <t>Estado RET</t>
  </si>
  <si>
    <t>Estado ambas líneas</t>
  </si>
  <si>
    <t>Análisis completo de implementación Fixed y operación RET</t>
  </si>
  <si>
    <t>Planeación mensual vs. horas OpenAir | Capacidad neta: lun-jue 8,5 h, viernes 8 h y festivos Colombia | Corte 2026-09-04</t>
  </si>
  <si>
    <t>Fixed real h (planeados)</t>
  </si>
  <si>
    <t>RET real h (planeados)</t>
  </si>
  <si>
    <t>Total real h (planeados)</t>
  </si>
  <si>
    <t>Desviación total h</t>
  </si>
  <si>
    <t>Persona-mes por revisar</t>
  </si>
  <si>
    <t>Fixed esperado</t>
  </si>
  <si>
    <t>Fixed real</t>
  </si>
  <si>
    <t>Desv. Fixed</t>
  </si>
  <si>
    <t>RET esperado</t>
  </si>
  <si>
    <t>RET real</t>
  </si>
  <si>
    <t>Desv. RET</t>
  </si>
  <si>
    <t>Total esperado</t>
  </si>
  <si>
    <t>Total real</t>
  </si>
  <si>
    <t>Desv. total</t>
  </si>
  <si>
    <t>• Las personas de auditoría/contratistas permanecen excluidas de alertas de ausencia. La capacidad no asignada se muestra explícitamente cuando Fixed + RET es menor de 100%.</t>
  </si>
  <si>
    <t>Alertas de cumplimiento por línea</t>
  </si>
  <si>
    <t>Detalle de faltantes, desviaciones y cargas sin planeación para Fixed y RET. Auditoría/contratistas excluidas.</t>
  </si>
  <si>
    <t>Línea</t>
  </si>
  <si>
    <t>% planeado</t>
  </si>
  <si>
    <t>Esperado h</t>
  </si>
  <si>
    <t>Real h</t>
  </si>
  <si>
    <t>Cumplimiento</t>
  </si>
  <si>
    <t>Cálculo</t>
  </si>
  <si>
    <t>Análisis ambas líneas</t>
  </si>
  <si>
    <t>Se evalúan horas, cumplimiento y mezcla Fixed/RET; también el total conjunto y la capacidad no asignada.</t>
  </si>
  <si>
    <t>Resumen y Cumplimiento</t>
  </si>
  <si>
    <t>Los excesos de una línea no compensan alertas de la otra.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</si>
</sst>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0"/>
      <color rgb="FF5B6573"/>
      <name val="Aptos"/>
    </font>
    <font>
      <b/>
      <sz val="11"/>
      <color rgb="FFFFFFFF"/>
      <name val="Aptos"/>
    </font>
    <font>
      <b/>
      <sz val="18"/>
      <color rgb="FFFFFFFF"/>
      <name val="Aptos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8"/>
      <color rgb="FFFFFFFF"/>
      <name val="Calibri"/>
      <family val="2"/>
      <scheme val="minor"/>
    </font>
    <font>
      <b/>
      <sz val="18"/>
      <color rgb="FF4472C4"/>
      <name val="Aptos"/>
      <family val="2"/>
    </font>
    <font>
      <b/>
      <sz val="18"/>
      <color rgb="FF1F9E89"/>
      <name val="Aptos"/>
      <family val="2"/>
    </font>
    <font>
      <b/>
      <sz val="18"/>
      <color rgb="FFF483B1"/>
      <name val="Aptos"/>
      <family val="2"/>
    </font>
    <font>
      <b/>
      <sz val="18"/>
      <color rgb="FFC00000"/>
      <name val="Aptos"/>
      <family val="2"/>
    </font>
    <font>
      <b/>
      <sz val="13"/>
      <color rgb="FF17365D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7F9FC"/>
      </patternFill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1F9E89"/>
        <bgColor indexed="64"/>
      </patternFill>
    </fill>
    <fill>
      <patternFill patternType="solid">
        <fgColor rgb="FFF483B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2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2" fontId="0" fillId="4" borderId="1" xfId="0" applyNumberFormat="1" applyFill="1" applyBorder="1" applyAlignment="1">
      <alignment vertical="top"/>
    </xf>
    <xf numFmtId="164" fontId="0" fillId="0" borderId="1" xfId="0" applyNumberFormat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9" fontId="0" fillId="0" borderId="1" xfId="0" applyNumberFormat="1" applyBorder="1" applyAlignment="1">
      <alignment vertical="top"/>
    </xf>
    <xf numFmtId="9" fontId="0" fillId="4" borderId="1" xfId="0" applyNumberFormat="1" applyFill="1" applyBorder="1" applyAlignment="1">
      <alignment vertical="top"/>
    </xf>
    <xf numFmtId="0" fontId="5" fillId="0" borderId="0" xfId="0" applyFont="1"/>
    <xf numFmtId="0" fontId="6" fillId="6" borderId="0" xfId="0" applyFont="1" applyFill="1"/>
    <xf numFmtId="165" fontId="5" fillId="0" borderId="0" xfId="0" applyNumberFormat="1" applyFont="1"/>
    <xf numFmtId="2" fontId="5" fillId="0" borderId="0" xfId="0" applyNumberFormat="1" applyFont="1"/>
    <xf numFmtId="165" fontId="5" fillId="7" borderId="0" xfId="0" applyNumberFormat="1" applyFont="1" applyFill="1"/>
    <xf numFmtId="165" fontId="5" fillId="8" borderId="0" xfId="0" applyNumberFormat="1" applyFont="1" applyFill="1"/>
    <xf numFmtId="0" fontId="6" fillId="5" borderId="0" xfId="0" applyFont="1" applyFill="1"/>
    <xf numFmtId="49" fontId="5" fillId="0" borderId="0" xfId="0" applyNumberFormat="1" applyFont="1"/>
    <xf numFmtId="165" fontId="5" fillId="9" borderId="0" xfId="0" applyNumberFormat="1" applyFont="1" applyFill="1"/>
    <xf numFmtId="0" fontId="6" fillId="6" borderId="0" xfId="0" applyFont="1" applyFill="1" applyAlignment="1">
      <alignment wrapText="1"/>
    </xf>
    <xf numFmtId="164" fontId="5" fillId="0" borderId="0" xfId="0" applyNumberFormat="1" applyFont="1"/>
    <xf numFmtId="0" fontId="5" fillId="7" borderId="0" xfId="0" applyFont="1" applyFill="1"/>
    <xf numFmtId="0" fontId="12" fillId="0" borderId="0" xfId="0" applyFont="1"/>
    <xf numFmtId="0" fontId="5" fillId="13" borderId="0" xfId="0" applyFont="1" applyFill="1"/>
    <xf numFmtId="0" fontId="5" fillId="14" borderId="0" xfId="0" applyFont="1" applyFill="1"/>
    <xf numFmtId="0" fontId="5" fillId="9" borderId="0" xfId="0" applyFont="1" applyFill="1"/>
    <xf numFmtId="0" fontId="6" fillId="1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" fontId="11" fillId="7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/>
    </xf>
    <xf numFmtId="2" fontId="8" fillId="7" borderId="0" xfId="0" applyNumberFormat="1" applyFont="1" applyFill="1" applyAlignment="1">
      <alignment horizontal="center" vertical="center"/>
    </xf>
    <xf numFmtId="0" fontId="6" fillId="10" borderId="0" xfId="0" applyFont="1" applyFill="1" applyAlignment="1">
      <alignment horizontal="center"/>
    </xf>
    <xf numFmtId="2" fontId="9" fillId="7" borderId="0" xfId="0" applyNumberFormat="1" applyFont="1" applyFill="1" applyAlignment="1">
      <alignment horizontal="center" vertical="center"/>
    </xf>
    <xf numFmtId="0" fontId="6" fillId="11" borderId="0" xfId="0" applyFont="1" applyFill="1" applyAlignment="1">
      <alignment horizontal="center"/>
    </xf>
    <xf numFmtId="2" fontId="10" fillId="7" borderId="0" xfId="0" applyNumberFormat="1" applyFont="1" applyFill="1" applyAlignment="1">
      <alignment horizontal="center" vertical="center"/>
    </xf>
    <xf numFmtId="0" fontId="4" fillId="5" borderId="0" xfId="0" applyFont="1" applyFill="1"/>
    <xf numFmtId="0" fontId="5" fillId="0" borderId="0" xfId="0" applyFont="1"/>
    <xf numFmtId="0" fontId="7" fillId="5" borderId="0" xfId="0" applyFont="1" applyFill="1"/>
    <xf numFmtId="0" fontId="0" fillId="0" borderId="0" xfId="0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5" fillId="0" borderId="0" xfId="0" applyFont="1" applyAlignment="1"/>
    <xf numFmtId="0" fontId="5" fillId="0" borderId="0" xfId="0" applyFont="1" applyAlignment="1"/>
    <xf numFmtId="0" fontId="0" fillId="0" borderId="0" xfId="0" applyAlignment="1"/>
  </cellXfs>
  <cellStyles count="1">
    <cellStyle name="Normal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2ABB-AA64-45D2-BBE7-E0F451167D36}">
  <sheetPr>
    <pageSetUpPr fitToPage="1"/>
  </sheetPr>
  <dimension ref="A1:L26"/>
  <sheetViews>
    <sheetView tabSelected="1" workbookViewId="0">
      <selection sqref="A1:L1"/>
    </sheetView>
  </sheetViews>
  <sheetFormatPr baseColWidth="10" defaultRowHeight="14.5" x14ac:dyDescent="0.35"/>
  <cols>
    <col min="1" max="1" width="18.6328125" customWidth="1"/>
    <col min="2" max="12" width="14.6328125" customWidth="1"/>
  </cols>
  <sheetData>
    <row r="1" spans="1:12" ht="23.5" x14ac:dyDescent="0.55000000000000004">
      <c r="A1" s="41" t="s">
        <v>287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x14ac:dyDescent="0.35">
      <c r="A2" s="42" t="s">
        <v>288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x14ac:dyDescent="0.35">
      <c r="A4" s="35" t="s">
        <v>2</v>
      </c>
      <c r="B4" s="32"/>
      <c r="C4" s="32"/>
      <c r="D4" s="37" t="s">
        <v>289</v>
      </c>
      <c r="E4" s="32"/>
      <c r="F4" s="32"/>
      <c r="G4" s="35" t="s">
        <v>275</v>
      </c>
      <c r="H4" s="32"/>
      <c r="I4" s="32"/>
      <c r="J4" s="37" t="s">
        <v>290</v>
      </c>
      <c r="K4" s="32"/>
      <c r="L4" s="32"/>
    </row>
    <row r="5" spans="1:12" x14ac:dyDescent="0.35">
      <c r="A5" s="36">
        <f>SUMIFS(Cumplimiento!$H$5:$H$106,Cumplimiento!$Z$5:$Z$106,"No")</f>
        <v>9501.9500000000007</v>
      </c>
      <c r="B5" s="34"/>
      <c r="C5" s="34"/>
      <c r="D5" s="38">
        <f>SUMIFS(Cumplimiento!$I$5:$I$106,Cumplimiento!$Z$5:$Z$106,"No")</f>
        <v>7397.9</v>
      </c>
      <c r="E5" s="34"/>
      <c r="F5" s="34"/>
      <c r="G5" s="36">
        <f>SUMIFS(Cumplimiento!$L$5:$L$106,Cumplimiento!$Z$5:$Z$106,"No")</f>
        <v>505.35</v>
      </c>
      <c r="H5" s="34"/>
      <c r="I5" s="34"/>
      <c r="J5" s="38">
        <f>SUMIFS(Cumplimiento!$M$5:$M$106,Cumplimiento!$Z$5:$Z$106,"No")</f>
        <v>210.85</v>
      </c>
      <c r="K5" s="34"/>
      <c r="L5" s="34"/>
    </row>
    <row r="6" spans="1:12" x14ac:dyDescent="0.3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x14ac:dyDescent="0.35">
      <c r="A8" s="35" t="s">
        <v>278</v>
      </c>
      <c r="B8" s="32"/>
      <c r="C8" s="32"/>
      <c r="D8" s="37" t="s">
        <v>291</v>
      </c>
      <c r="E8" s="32"/>
      <c r="F8" s="32"/>
      <c r="G8" s="39" t="s">
        <v>292</v>
      </c>
      <c r="H8" s="32"/>
      <c r="I8" s="32"/>
      <c r="J8" s="31" t="s">
        <v>293</v>
      </c>
      <c r="K8" s="32"/>
      <c r="L8" s="32"/>
    </row>
    <row r="9" spans="1:12" x14ac:dyDescent="0.35">
      <c r="A9" s="36">
        <f>SUMIFS(Cumplimiento!$P$5:$P$106,Cumplimiento!$Z$5:$Z$106,"No")</f>
        <v>10007.299999999999</v>
      </c>
      <c r="B9" s="34"/>
      <c r="C9" s="34"/>
      <c r="D9" s="38">
        <f>SUMIFS(Cumplimiento!$Q$5:$Q$106,Cumplimiento!$Z$5:$Z$106,"No")</f>
        <v>7608.75</v>
      </c>
      <c r="E9" s="34"/>
      <c r="F9" s="34"/>
      <c r="G9" s="40">
        <f>SUMIFS(Cumplimiento!$R$5:$R$106,Cumplimiento!$Z$5:$Z$106,"No")</f>
        <v>-2398.5500000000002</v>
      </c>
      <c r="H9" s="34"/>
      <c r="I9" s="34"/>
      <c r="J9" s="33">
        <f>COUNTIF(Cumplimiento!$Y$5:$Y$106,"Revisar*")+COUNTIF(Cumplimiento!$Y$5:$Y$106,"Desviación total")</f>
        <v>59</v>
      </c>
      <c r="K9" s="34"/>
      <c r="L9" s="34"/>
    </row>
    <row r="10" spans="1:12" x14ac:dyDescent="0.3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1:12" x14ac:dyDescent="0.3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 x14ac:dyDescent="0.3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x14ac:dyDescent="0.35">
      <c r="A13" s="16" t="s">
        <v>1</v>
      </c>
      <c r="B13" s="16" t="s">
        <v>294</v>
      </c>
      <c r="C13" s="16" t="s">
        <v>295</v>
      </c>
      <c r="D13" s="16" t="s">
        <v>296</v>
      </c>
      <c r="E13" s="16" t="s">
        <v>297</v>
      </c>
      <c r="F13" s="16" t="s">
        <v>298</v>
      </c>
      <c r="G13" s="16" t="s">
        <v>299</v>
      </c>
      <c r="H13" s="16" t="s">
        <v>300</v>
      </c>
      <c r="I13" s="16" t="s">
        <v>301</v>
      </c>
      <c r="J13" s="16" t="s">
        <v>302</v>
      </c>
      <c r="K13" s="15"/>
      <c r="L13" s="15"/>
    </row>
    <row r="14" spans="1:12" x14ac:dyDescent="0.35">
      <c r="A14" s="15" t="s">
        <v>5</v>
      </c>
      <c r="B14" s="18">
        <f>SUMIFS(Cumplimiento!$H$5:$H$106,Cumplimiento!$C$5:$C$106,A14,Cumplimiento!$Z$5:$Z$106,"No")</f>
        <v>5104</v>
      </c>
      <c r="C14" s="18">
        <f>SUMIFS(Cumplimiento!$I$5:$I$106,Cumplimiento!$C$5:$C$106,A14,Cumplimiento!$Z$5:$Z$106,"No")</f>
        <v>4033.75</v>
      </c>
      <c r="D14" s="18">
        <f>C14-B14</f>
        <v>-1070.25</v>
      </c>
      <c r="E14" s="18">
        <f>SUMIFS(Cumplimiento!$L$5:$L$106,Cumplimiento!$C$5:$C$106,A14,Cumplimiento!$Z$5:$Z$106,"No")</f>
        <v>0</v>
      </c>
      <c r="F14" s="18">
        <f>SUMIFS(Cumplimiento!$M$5:$M$106,Cumplimiento!$C$5:$C$106,A14,Cumplimiento!$Z$5:$Z$106,"No")</f>
        <v>0</v>
      </c>
      <c r="G14" s="18">
        <f>F14-E14</f>
        <v>0</v>
      </c>
      <c r="H14" s="18">
        <f t="shared" ref="H14:I16" si="0">B14+E14</f>
        <v>5104</v>
      </c>
      <c r="I14" s="18">
        <f t="shared" si="0"/>
        <v>4033.75</v>
      </c>
      <c r="J14" s="18">
        <f>I14-H14</f>
        <v>-1070.25</v>
      </c>
      <c r="K14" s="15"/>
      <c r="L14" s="15"/>
    </row>
    <row r="15" spans="1:12" x14ac:dyDescent="0.35">
      <c r="A15" s="15" t="s">
        <v>6</v>
      </c>
      <c r="B15" s="18">
        <f>SUMIFS(Cumplimiento!$H$5:$H$106,Cumplimiento!$C$5:$C$106,A15,Cumplimiento!$Z$5:$Z$106,"No")</f>
        <v>3872</v>
      </c>
      <c r="C15" s="18">
        <f>SUMIFS(Cumplimiento!$I$5:$I$106,Cumplimiento!$C$5:$C$106,A15,Cumplimiento!$Z$5:$Z$106,"No")</f>
        <v>3059.7999999999997</v>
      </c>
      <c r="D15" s="18">
        <f>C15-B15</f>
        <v>-812.20000000000027</v>
      </c>
      <c r="E15" s="18">
        <f>SUMIFS(Cumplimiento!$L$5:$L$106,Cumplimiento!$C$5:$C$106,A15,Cumplimiento!$Z$5:$Z$106,"No")</f>
        <v>368</v>
      </c>
      <c r="F15" s="18">
        <f>SUMIFS(Cumplimiento!$M$5:$M$106,Cumplimiento!$C$5:$C$106,A15,Cumplimiento!$Z$5:$Z$106,"No")</f>
        <v>165.4</v>
      </c>
      <c r="G15" s="18">
        <f>F15-E15</f>
        <v>-202.6</v>
      </c>
      <c r="H15" s="18">
        <f t="shared" si="0"/>
        <v>4240</v>
      </c>
      <c r="I15" s="18">
        <f t="shared" si="0"/>
        <v>3225.2</v>
      </c>
      <c r="J15" s="18">
        <f>I15-H15</f>
        <v>-1014.8000000000002</v>
      </c>
      <c r="K15" s="15"/>
      <c r="L15" s="15"/>
    </row>
    <row r="16" spans="1:12" x14ac:dyDescent="0.35">
      <c r="A16" s="15" t="s">
        <v>7</v>
      </c>
      <c r="B16" s="18">
        <f>SUMIFS(Cumplimiento!$H$5:$H$106,Cumplimiento!$C$5:$C$106,A16,Cumplimiento!$Z$5:$Z$106,"No")</f>
        <v>525.94999999999993</v>
      </c>
      <c r="C16" s="18">
        <f>SUMIFS(Cumplimiento!$I$5:$I$106,Cumplimiento!$C$5:$C$106,A16,Cumplimiento!$Z$5:$Z$106,"No")</f>
        <v>304.35000000000002</v>
      </c>
      <c r="D16" s="18">
        <f>C16-B16</f>
        <v>-221.59999999999991</v>
      </c>
      <c r="E16" s="18">
        <f>SUMIFS(Cumplimiento!$L$5:$L$106,Cumplimiento!$C$5:$C$106,A16,Cumplimiento!$Z$5:$Z$106,"No")</f>
        <v>137.35</v>
      </c>
      <c r="F16" s="18">
        <f>SUMIFS(Cumplimiento!$M$5:$M$106,Cumplimiento!$C$5:$C$106,A16,Cumplimiento!$Z$5:$Z$106,"No")</f>
        <v>45.45</v>
      </c>
      <c r="G16" s="18">
        <f>F16-E16</f>
        <v>-91.899999999999991</v>
      </c>
      <c r="H16" s="18">
        <f t="shared" si="0"/>
        <v>663.3</v>
      </c>
      <c r="I16" s="18">
        <f t="shared" si="0"/>
        <v>349.8</v>
      </c>
      <c r="J16" s="18">
        <f>I16-H16</f>
        <v>-313.49999999999994</v>
      </c>
      <c r="K16" s="15"/>
      <c r="L16" s="15"/>
    </row>
    <row r="17" spans="1:12" x14ac:dyDescent="0.3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ht="17" x14ac:dyDescent="0.4">
      <c r="A18" s="27" t="s">
        <v>0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ht="20" customHeight="1" x14ac:dyDescent="0.35">
      <c r="A19" s="47" t="str">
        <f>"• Fixed: "&amp;ROUND(D5,2)&amp;" h reales frente a "&amp;ROUND(A5,2)&amp;" h esperadas; desviación "&amp;ROUND(D5-A5,2)&amp;" h."</f>
        <v>• Fixed: 7397,9 h reales frente a 9501,95 h esperadas; desviación -2104,05 h.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ht="20" customHeight="1" x14ac:dyDescent="0.35">
      <c r="A20" s="47" t="str">
        <f>"• RET: "&amp;ROUND(J5,2)&amp;" h reales frente a "&amp;ROUND(G5,2)&amp;" h esperadas; desviación "&amp;ROUND(J5-G5,2)&amp;" h."</f>
        <v>• RET: 210,85 h reales frente a 505,35 h esperadas; desviación -294,5 h.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ht="20" customHeight="1" x14ac:dyDescent="0.35">
      <c r="A21" s="47" t="str">
        <f>"• Alertas Fixed: "&amp;COUNTIFS(Cumplimiento!$W$5:$W$106,"&lt;&gt;En rango Fixed",Cumplimiento!$W$5:$W$106,"&lt;&gt;No aplica Fixed",Cumplimiento!$W$5:$W$106,"&lt;&gt;Excluido")&amp;" persona-mes."</f>
        <v>• Alertas Fixed: 58 persona-mes.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 ht="20" customHeight="1" x14ac:dyDescent="0.35">
      <c r="A22" s="47" t="str">
        <f>"• Alertas RET: "&amp;COUNTIFS(Cumplimiento!$X$5:$X$106,"&lt;&gt;En rango RET",Cumplimiento!$X$5:$X$106,"&lt;&gt;No aplica RET",Cumplimiento!$X$5:$X$106,"&lt;&gt;Excluido")&amp;" persona-mes."</f>
        <v>• Alertas RET: 20 persona-mes.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ht="20" customHeight="1" x14ac:dyDescent="0.35">
      <c r="A23" s="47" t="str">
        <f>"• Cargas no planeadas RET: "&amp;COUNTIF(Cumplimiento!$X$5:$X$106,"Carga no planeada RET")&amp;"; meses sin horas RET pese a estar planeadas: "&amp;COUNTIF(Cumplimiento!$X$5:$X$106,"Sin horas RET")&amp;"."</f>
        <v>• Cargas no planeadas RET: 2; meses sin horas RET pese a estar planeadas: 15.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ht="20" customHeight="1" x14ac:dyDescent="0.35">
      <c r="A24" s="47" t="s">
        <v>303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ht="20" customHeight="1" x14ac:dyDescent="0.35">
      <c r="A25" s="47" t="str">
        <f>"• La fuente RET contiene "&amp;ROUND(SUMIFS('RET OpenAir fuente'!$D$5:$D$320,'RET OpenAir fuente'!$F$5:$F$320,"Sí"),2)&amp;" h en el período; "&amp;ROUND(J5,2)&amp;" h corresponden a personas incluidas en esta planeación."</f>
        <v>• La fuente RET contiene 452,85 h en el período; 210,85 h corresponden a personas incluidas en esta planeación.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20" customHeight="1" x14ac:dyDescent="0.35">
      <c r="A26" s="48" t="str">
        <f>"• La fuente Fixed contiene "&amp;ROUND(D5+SUMIFS(Anomalias!$F$5:$F$200,Anomalias!$B$5:$B$200,"Persona no planeada"),2)&amp;" h en el período; "&amp;ROUND(D5,2)&amp;" h corresponden a personas incluidas en esta planeación."</f>
        <v>• La fuente Fixed contiene 8853,9 h en el período; 7397,9 h corresponden a personas incluidas en esta planeación.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</row>
  </sheetData>
  <mergeCells count="19">
    <mergeCell ref="A1:L1"/>
    <mergeCell ref="A2:L2"/>
    <mergeCell ref="A4:C4"/>
    <mergeCell ref="A5:C6"/>
    <mergeCell ref="D4:F4"/>
    <mergeCell ref="D5:F6"/>
    <mergeCell ref="G4:I4"/>
    <mergeCell ref="G5:I6"/>
    <mergeCell ref="J4:L4"/>
    <mergeCell ref="J5:L6"/>
    <mergeCell ref="A26:L26"/>
    <mergeCell ref="J8:L8"/>
    <mergeCell ref="J9:L10"/>
    <mergeCell ref="A8:C8"/>
    <mergeCell ref="A9:C10"/>
    <mergeCell ref="D8:F8"/>
    <mergeCell ref="D9:F10"/>
    <mergeCell ref="G8:I8"/>
    <mergeCell ref="G9:I10"/>
  </mergeCells>
  <pageMargins left="0.7" right="0.7" top="0.75" bottom="0.75" header="0.3" footer="0.3"/>
  <pageSetup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FBC5-29CC-4720-BA3F-1DCB0B97263F}">
  <sheetPr>
    <pageSetUpPr fitToPage="1"/>
  </sheetPr>
  <dimension ref="A1:Z106"/>
  <sheetViews>
    <sheetView workbookViewId="0">
      <pane xSplit="2" ySplit="4" topLeftCell="C5" activePane="bottomRight" state="frozenSplit"/>
      <selection pane="topRight" activeCell="C1" sqref="C1"/>
      <selection pane="bottomLeft" activeCell="A5" sqref="A5"/>
      <selection pane="bottomRight"/>
    </sheetView>
  </sheetViews>
  <sheetFormatPr baseColWidth="10" defaultRowHeight="14.5" x14ac:dyDescent="0.35"/>
  <cols>
    <col min="1" max="1" width="29.6328125" customWidth="1"/>
    <col min="2" max="2" width="34.6328125" customWidth="1"/>
    <col min="3" max="22" width="13.6328125" customWidth="1"/>
    <col min="23" max="24" width="25.6328125" customWidth="1"/>
    <col min="25" max="25" width="31.6328125" customWidth="1"/>
    <col min="26" max="26" width="11.6328125" customWidth="1"/>
  </cols>
  <sheetData>
    <row r="1" spans="1:26" ht="23.5" x14ac:dyDescent="0.55000000000000004">
      <c r="A1" s="43" t="s">
        <v>271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x14ac:dyDescent="0.35">
      <c r="A2" s="44" t="s">
        <v>272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4" spans="1:26" ht="34" customHeight="1" x14ac:dyDescent="0.35">
      <c r="A4" s="24" t="s">
        <v>8</v>
      </c>
      <c r="B4" s="24" t="s">
        <v>69</v>
      </c>
      <c r="C4" s="24" t="s">
        <v>1</v>
      </c>
      <c r="D4" s="24" t="s">
        <v>10</v>
      </c>
      <c r="E4" s="24" t="s">
        <v>11</v>
      </c>
      <c r="F4" s="24" t="s">
        <v>156</v>
      </c>
      <c r="G4" s="24" t="s">
        <v>12</v>
      </c>
      <c r="H4" s="24" t="s">
        <v>2</v>
      </c>
      <c r="I4" s="24" t="s">
        <v>3</v>
      </c>
      <c r="J4" s="24" t="s">
        <v>273</v>
      </c>
      <c r="K4" s="24" t="s">
        <v>274</v>
      </c>
      <c r="L4" s="24" t="s">
        <v>275</v>
      </c>
      <c r="M4" s="24" t="s">
        <v>13</v>
      </c>
      <c r="N4" s="24" t="s">
        <v>276</v>
      </c>
      <c r="O4" s="24" t="s">
        <v>277</v>
      </c>
      <c r="P4" s="24" t="s">
        <v>278</v>
      </c>
      <c r="Q4" s="24" t="s">
        <v>279</v>
      </c>
      <c r="R4" s="24" t="s">
        <v>280</v>
      </c>
      <c r="S4" s="24" t="s">
        <v>14</v>
      </c>
      <c r="T4" s="24" t="s">
        <v>281</v>
      </c>
      <c r="U4" s="24" t="s">
        <v>282</v>
      </c>
      <c r="V4" s="24" t="s">
        <v>283</v>
      </c>
      <c r="W4" s="24" t="s">
        <v>284</v>
      </c>
      <c r="X4" s="24" t="s">
        <v>285</v>
      </c>
      <c r="Y4" s="24" t="s">
        <v>286</v>
      </c>
      <c r="Z4" s="24" t="s">
        <v>16</v>
      </c>
    </row>
    <row r="5" spans="1:26" x14ac:dyDescent="0.35">
      <c r="A5" s="15" t="s">
        <v>17</v>
      </c>
      <c r="B5" s="15" t="s">
        <v>18</v>
      </c>
      <c r="C5" s="15" t="s">
        <v>5</v>
      </c>
      <c r="D5" s="25">
        <v>1</v>
      </c>
      <c r="E5" s="25">
        <v>0</v>
      </c>
      <c r="F5" s="25">
        <f t="shared" ref="F5:F36" si="0">MAX(0,1-D5-E5)</f>
        <v>0</v>
      </c>
      <c r="G5" s="18">
        <v>176</v>
      </c>
      <c r="H5" s="18">
        <f t="shared" ref="H5:H36" si="1">D5*G5</f>
        <v>176</v>
      </c>
      <c r="I5" s="18">
        <v>135.5</v>
      </c>
      <c r="J5" s="18">
        <f t="shared" ref="J5:J36" si="2">I5-H5</f>
        <v>-40.5</v>
      </c>
      <c r="K5" s="25">
        <f t="shared" ref="K5:K36" si="3">IF(H5=0,"",I5/H5)</f>
        <v>0.76988636363636365</v>
      </c>
      <c r="L5" s="18">
        <f t="shared" ref="L5:L36" si="4">E5*G5</f>
        <v>0</v>
      </c>
      <c r="M5" s="18">
        <v>0</v>
      </c>
      <c r="N5" s="18">
        <f t="shared" ref="N5:N36" si="5">M5-L5</f>
        <v>0</v>
      </c>
      <c r="O5" s="25" t="str">
        <f t="shared" ref="O5:O36" si="6">IF(L5=0,"",M5/L5)</f>
        <v/>
      </c>
      <c r="P5" s="18">
        <f t="shared" ref="P5:P36" si="7">H5+L5</f>
        <v>176</v>
      </c>
      <c r="Q5" s="18">
        <f t="shared" ref="Q5:Q36" si="8">I5+M5</f>
        <v>135.5</v>
      </c>
      <c r="R5" s="18">
        <f t="shared" ref="R5:R36" si="9">Q5-P5</f>
        <v>-40.5</v>
      </c>
      <c r="S5" s="25">
        <f t="shared" ref="S5:S36" si="10">IF(Q5=0,"",I5/Q5)</f>
        <v>1</v>
      </c>
      <c r="T5" s="25">
        <f t="shared" ref="T5:T36" si="11">IF(Q5=0,"",M5/Q5)</f>
        <v>0</v>
      </c>
      <c r="U5" s="25">
        <f t="shared" ref="U5:U36" si="12">IF(S5="","",S5-D5)</f>
        <v>0</v>
      </c>
      <c r="V5" s="25">
        <f t="shared" ref="V5:V36" si="13">IF(T5="","",T5-E5)</f>
        <v>0</v>
      </c>
      <c r="W5" s="28" t="str">
        <f t="shared" ref="W5:W36" si="14">IF(Z5="Sí","Excluido",IF(AND(D5=0,I5=0),"No aplica Fixed",IF(AND(D5=0,I5&gt;0),"Carga no planeada Fixed",IF(AND(D5&gt;0,I5=0),"Sin horas Fixed",IF(ABS(J5)&gt;MAX(8,H5*10%),"Desviación Fixed","En rango Fixed")))))</f>
        <v>Desviación Fixed</v>
      </c>
      <c r="X5" s="15" t="str">
        <f t="shared" ref="X5:X36" si="15">IF(Z5="Sí","Excluido",IF(AND(E5=0,M5=0),"No aplica RET",IF(AND(E5=0,M5&gt;0),"Carga no planeada RET",IF(AND(E5&gt;0,M5=0),"Sin horas RET",IF(ABS(N5)&gt;MAX(8,L5*10%),"Desviación RET","En rango RET")))))</f>
        <v>No aplica RET</v>
      </c>
      <c r="Y5" s="15" t="str">
        <f t="shared" ref="Y5:Y36" si="16">IF(Z5="Sí","Excluido - auditoría/contratista",IF(OR(ISNUMBER(SEARCH("Carga",W5)),ISNUMBER(SEARCH("Sin horas",W5)),ISNUMBER(SEARCH("Desviación",W5)),ISNUMBER(SEARCH("Carga",X5)),ISNUMBER(SEARCH("Sin horas",X5)),ISNUMBER(SEARCH("Desviación",X5))),"Revisar ambas líneas",IF(ABS(R5)&gt;MAX(8,P5*10%),"Desviación total",IF(F5&gt;0,"En rango - plan parcial","En rango ambas líneas"))))</f>
        <v>Revisar ambas líneas</v>
      </c>
      <c r="Z5" s="15" t="s">
        <v>19</v>
      </c>
    </row>
    <row r="6" spans="1:26" x14ac:dyDescent="0.35">
      <c r="A6" s="26" t="s">
        <v>17</v>
      </c>
      <c r="B6" s="15" t="s">
        <v>18</v>
      </c>
      <c r="C6" s="15" t="s">
        <v>6</v>
      </c>
      <c r="D6" s="25">
        <v>0.9</v>
      </c>
      <c r="E6" s="25">
        <v>0.1</v>
      </c>
      <c r="F6" s="25">
        <f t="shared" si="0"/>
        <v>0</v>
      </c>
      <c r="G6" s="18">
        <v>160</v>
      </c>
      <c r="H6" s="18">
        <f t="shared" si="1"/>
        <v>144</v>
      </c>
      <c r="I6" s="18">
        <v>162.9</v>
      </c>
      <c r="J6" s="18">
        <f t="shared" si="2"/>
        <v>18.900000000000006</v>
      </c>
      <c r="K6" s="25">
        <f t="shared" si="3"/>
        <v>1.1312500000000001</v>
      </c>
      <c r="L6" s="18">
        <f t="shared" si="4"/>
        <v>16</v>
      </c>
      <c r="M6" s="18">
        <v>14.1</v>
      </c>
      <c r="N6" s="18">
        <f t="shared" si="5"/>
        <v>-1.9000000000000004</v>
      </c>
      <c r="O6" s="25">
        <f t="shared" si="6"/>
        <v>0.88124999999999998</v>
      </c>
      <c r="P6" s="18">
        <f t="shared" si="7"/>
        <v>160</v>
      </c>
      <c r="Q6" s="18">
        <f t="shared" si="8"/>
        <v>177</v>
      </c>
      <c r="R6" s="18">
        <f t="shared" si="9"/>
        <v>17</v>
      </c>
      <c r="S6" s="25">
        <f t="shared" si="10"/>
        <v>0.92033898305084749</v>
      </c>
      <c r="T6" s="25">
        <f t="shared" si="11"/>
        <v>7.9661016949152536E-2</v>
      </c>
      <c r="U6" s="25">
        <f t="shared" si="12"/>
        <v>2.033898305084747E-2</v>
      </c>
      <c r="V6" s="25">
        <f t="shared" si="13"/>
        <v>-2.033898305084747E-2</v>
      </c>
      <c r="W6" s="28" t="str">
        <f t="shared" si="14"/>
        <v>Desviación Fixed</v>
      </c>
      <c r="X6" s="15" t="str">
        <f t="shared" si="15"/>
        <v>En rango RET</v>
      </c>
      <c r="Y6" s="15" t="str">
        <f t="shared" si="16"/>
        <v>Revisar ambas líneas</v>
      </c>
      <c r="Z6" s="15" t="s">
        <v>19</v>
      </c>
    </row>
    <row r="7" spans="1:26" x14ac:dyDescent="0.35">
      <c r="A7" s="15" t="s">
        <v>17</v>
      </c>
      <c r="B7" s="15" t="s">
        <v>18</v>
      </c>
      <c r="C7" s="15" t="s">
        <v>7</v>
      </c>
      <c r="D7" s="25">
        <v>0.9</v>
      </c>
      <c r="E7" s="25">
        <v>0.1</v>
      </c>
      <c r="F7" s="25">
        <f t="shared" si="0"/>
        <v>0</v>
      </c>
      <c r="G7" s="18">
        <v>33.5</v>
      </c>
      <c r="H7" s="18">
        <f t="shared" si="1"/>
        <v>30.150000000000002</v>
      </c>
      <c r="I7" s="18">
        <v>31.05</v>
      </c>
      <c r="J7" s="18">
        <f t="shared" si="2"/>
        <v>0.89999999999999858</v>
      </c>
      <c r="K7" s="25">
        <f t="shared" si="3"/>
        <v>1.0298507462686566</v>
      </c>
      <c r="L7" s="18">
        <f t="shared" si="4"/>
        <v>3.35</v>
      </c>
      <c r="M7" s="18">
        <v>3.45</v>
      </c>
      <c r="N7" s="18">
        <f t="shared" si="5"/>
        <v>0.10000000000000009</v>
      </c>
      <c r="O7" s="25">
        <f t="shared" si="6"/>
        <v>1.0298507462686568</v>
      </c>
      <c r="P7" s="18">
        <f t="shared" si="7"/>
        <v>33.5</v>
      </c>
      <c r="Q7" s="18">
        <f t="shared" si="8"/>
        <v>34.5</v>
      </c>
      <c r="R7" s="18">
        <f t="shared" si="9"/>
        <v>1</v>
      </c>
      <c r="S7" s="25">
        <f t="shared" si="10"/>
        <v>0.9</v>
      </c>
      <c r="T7" s="25">
        <f t="shared" si="11"/>
        <v>0.1</v>
      </c>
      <c r="U7" s="25">
        <f t="shared" si="12"/>
        <v>0</v>
      </c>
      <c r="V7" s="25">
        <f t="shared" si="13"/>
        <v>0</v>
      </c>
      <c r="W7" s="29" t="str">
        <f t="shared" si="14"/>
        <v>En rango Fixed</v>
      </c>
      <c r="X7" s="15" t="str">
        <f t="shared" si="15"/>
        <v>En rango RET</v>
      </c>
      <c r="Y7" s="15" t="str">
        <f t="shared" si="16"/>
        <v>En rango ambas líneas</v>
      </c>
      <c r="Z7" s="15" t="s">
        <v>19</v>
      </c>
    </row>
    <row r="8" spans="1:26" x14ac:dyDescent="0.35">
      <c r="A8" s="26" t="s">
        <v>17</v>
      </c>
      <c r="B8" s="15" t="s">
        <v>20</v>
      </c>
      <c r="C8" s="15" t="s">
        <v>5</v>
      </c>
      <c r="D8" s="25">
        <v>1</v>
      </c>
      <c r="E8" s="25">
        <v>0</v>
      </c>
      <c r="F8" s="25">
        <f t="shared" si="0"/>
        <v>0</v>
      </c>
      <c r="G8" s="18">
        <v>176</v>
      </c>
      <c r="H8" s="18">
        <f t="shared" si="1"/>
        <v>176</v>
      </c>
      <c r="I8" s="18">
        <v>184.5</v>
      </c>
      <c r="J8" s="18">
        <f t="shared" si="2"/>
        <v>8.5</v>
      </c>
      <c r="K8" s="25">
        <f t="shared" si="3"/>
        <v>1.0482954545454546</v>
      </c>
      <c r="L8" s="18">
        <f t="shared" si="4"/>
        <v>0</v>
      </c>
      <c r="M8" s="18">
        <v>0</v>
      </c>
      <c r="N8" s="18">
        <f t="shared" si="5"/>
        <v>0</v>
      </c>
      <c r="O8" s="25" t="str">
        <f t="shared" si="6"/>
        <v/>
      </c>
      <c r="P8" s="18">
        <f t="shared" si="7"/>
        <v>176</v>
      </c>
      <c r="Q8" s="18">
        <f t="shared" si="8"/>
        <v>184.5</v>
      </c>
      <c r="R8" s="18">
        <f t="shared" si="9"/>
        <v>8.5</v>
      </c>
      <c r="S8" s="25">
        <f t="shared" si="10"/>
        <v>1</v>
      </c>
      <c r="T8" s="25">
        <f t="shared" si="11"/>
        <v>0</v>
      </c>
      <c r="U8" s="25">
        <f t="shared" si="12"/>
        <v>0</v>
      </c>
      <c r="V8" s="25">
        <f t="shared" si="13"/>
        <v>0</v>
      </c>
      <c r="W8" s="29" t="str">
        <f t="shared" si="14"/>
        <v>En rango Fixed</v>
      </c>
      <c r="X8" s="15" t="str">
        <f t="shared" si="15"/>
        <v>No aplica RET</v>
      </c>
      <c r="Y8" s="15" t="str">
        <f t="shared" si="16"/>
        <v>En rango ambas líneas</v>
      </c>
      <c r="Z8" s="15" t="s">
        <v>19</v>
      </c>
    </row>
    <row r="9" spans="1:26" x14ac:dyDescent="0.35">
      <c r="A9" s="15" t="s">
        <v>17</v>
      </c>
      <c r="B9" s="15" t="s">
        <v>20</v>
      </c>
      <c r="C9" s="15" t="s">
        <v>6</v>
      </c>
      <c r="D9" s="25">
        <v>0.9</v>
      </c>
      <c r="E9" s="25">
        <v>0.1</v>
      </c>
      <c r="F9" s="25">
        <f t="shared" si="0"/>
        <v>0</v>
      </c>
      <c r="G9" s="18">
        <v>160</v>
      </c>
      <c r="H9" s="18">
        <f t="shared" si="1"/>
        <v>144</v>
      </c>
      <c r="I9" s="18">
        <v>69.5</v>
      </c>
      <c r="J9" s="18">
        <f t="shared" si="2"/>
        <v>-74.5</v>
      </c>
      <c r="K9" s="25">
        <f t="shared" si="3"/>
        <v>0.4826388888888889</v>
      </c>
      <c r="L9" s="18">
        <f t="shared" si="4"/>
        <v>16</v>
      </c>
      <c r="M9" s="18">
        <v>0</v>
      </c>
      <c r="N9" s="18">
        <f t="shared" si="5"/>
        <v>-16</v>
      </c>
      <c r="O9" s="25">
        <f t="shared" si="6"/>
        <v>0</v>
      </c>
      <c r="P9" s="18">
        <f t="shared" si="7"/>
        <v>160</v>
      </c>
      <c r="Q9" s="18">
        <f t="shared" si="8"/>
        <v>69.5</v>
      </c>
      <c r="R9" s="18">
        <f t="shared" si="9"/>
        <v>-90.5</v>
      </c>
      <c r="S9" s="25">
        <f t="shared" si="10"/>
        <v>1</v>
      </c>
      <c r="T9" s="25">
        <f t="shared" si="11"/>
        <v>0</v>
      </c>
      <c r="U9" s="25">
        <f t="shared" si="12"/>
        <v>9.9999999999999978E-2</v>
      </c>
      <c r="V9" s="25">
        <f t="shared" si="13"/>
        <v>-0.1</v>
      </c>
      <c r="W9" s="28" t="str">
        <f t="shared" si="14"/>
        <v>Desviación Fixed</v>
      </c>
      <c r="X9" s="15" t="str">
        <f t="shared" si="15"/>
        <v>Sin horas RET</v>
      </c>
      <c r="Y9" s="15" t="str">
        <f t="shared" si="16"/>
        <v>Revisar ambas líneas</v>
      </c>
      <c r="Z9" s="15" t="s">
        <v>19</v>
      </c>
    </row>
    <row r="10" spans="1:26" x14ac:dyDescent="0.35">
      <c r="A10" s="26" t="s">
        <v>17</v>
      </c>
      <c r="B10" s="15" t="s">
        <v>20</v>
      </c>
      <c r="C10" s="15" t="s">
        <v>7</v>
      </c>
      <c r="D10" s="25">
        <v>0.9</v>
      </c>
      <c r="E10" s="25">
        <v>0.1</v>
      </c>
      <c r="F10" s="25">
        <f t="shared" si="0"/>
        <v>0</v>
      </c>
      <c r="G10" s="18">
        <v>33.5</v>
      </c>
      <c r="H10" s="18">
        <f t="shared" si="1"/>
        <v>30.150000000000002</v>
      </c>
      <c r="I10" s="18">
        <v>0</v>
      </c>
      <c r="J10" s="18">
        <f t="shared" si="2"/>
        <v>-30.150000000000002</v>
      </c>
      <c r="K10" s="25">
        <f t="shared" si="3"/>
        <v>0</v>
      </c>
      <c r="L10" s="18">
        <f t="shared" si="4"/>
        <v>3.35</v>
      </c>
      <c r="M10" s="18">
        <v>0</v>
      </c>
      <c r="N10" s="18">
        <f t="shared" si="5"/>
        <v>-3.35</v>
      </c>
      <c r="O10" s="25">
        <f t="shared" si="6"/>
        <v>0</v>
      </c>
      <c r="P10" s="18">
        <f t="shared" si="7"/>
        <v>33.5</v>
      </c>
      <c r="Q10" s="18">
        <f t="shared" si="8"/>
        <v>0</v>
      </c>
      <c r="R10" s="18">
        <f t="shared" si="9"/>
        <v>-33.5</v>
      </c>
      <c r="S10" s="25" t="str">
        <f t="shared" si="10"/>
        <v/>
      </c>
      <c r="T10" s="25" t="str">
        <f t="shared" si="11"/>
        <v/>
      </c>
      <c r="U10" s="25" t="str">
        <f t="shared" si="12"/>
        <v/>
      </c>
      <c r="V10" s="25" t="str">
        <f t="shared" si="13"/>
        <v/>
      </c>
      <c r="W10" s="28" t="str">
        <f t="shared" si="14"/>
        <v>Sin horas Fixed</v>
      </c>
      <c r="X10" s="15" t="str">
        <f t="shared" si="15"/>
        <v>Sin horas RET</v>
      </c>
      <c r="Y10" s="15" t="str">
        <f t="shared" si="16"/>
        <v>Revisar ambas líneas</v>
      </c>
      <c r="Z10" s="15" t="s">
        <v>19</v>
      </c>
    </row>
    <row r="11" spans="1:26" x14ac:dyDescent="0.35">
      <c r="A11" s="15" t="s">
        <v>17</v>
      </c>
      <c r="B11" s="15" t="s">
        <v>21</v>
      </c>
      <c r="C11" s="15" t="s">
        <v>5</v>
      </c>
      <c r="D11" s="25">
        <v>1</v>
      </c>
      <c r="E11" s="25">
        <v>0</v>
      </c>
      <c r="F11" s="25">
        <f t="shared" si="0"/>
        <v>0</v>
      </c>
      <c r="G11" s="18">
        <v>176</v>
      </c>
      <c r="H11" s="18">
        <f t="shared" si="1"/>
        <v>176</v>
      </c>
      <c r="I11" s="18">
        <v>180</v>
      </c>
      <c r="J11" s="18">
        <f t="shared" si="2"/>
        <v>4</v>
      </c>
      <c r="K11" s="25">
        <f t="shared" si="3"/>
        <v>1.0227272727272727</v>
      </c>
      <c r="L11" s="18">
        <f t="shared" si="4"/>
        <v>0</v>
      </c>
      <c r="M11" s="18">
        <v>0</v>
      </c>
      <c r="N11" s="18">
        <f t="shared" si="5"/>
        <v>0</v>
      </c>
      <c r="O11" s="25" t="str">
        <f t="shared" si="6"/>
        <v/>
      </c>
      <c r="P11" s="18">
        <f t="shared" si="7"/>
        <v>176</v>
      </c>
      <c r="Q11" s="18">
        <f t="shared" si="8"/>
        <v>180</v>
      </c>
      <c r="R11" s="18">
        <f t="shared" si="9"/>
        <v>4</v>
      </c>
      <c r="S11" s="25">
        <f t="shared" si="10"/>
        <v>1</v>
      </c>
      <c r="T11" s="25">
        <f t="shared" si="11"/>
        <v>0</v>
      </c>
      <c r="U11" s="25">
        <f t="shared" si="12"/>
        <v>0</v>
      </c>
      <c r="V11" s="25">
        <f t="shared" si="13"/>
        <v>0</v>
      </c>
      <c r="W11" s="29" t="str">
        <f t="shared" si="14"/>
        <v>En rango Fixed</v>
      </c>
      <c r="X11" s="15" t="str">
        <f t="shared" si="15"/>
        <v>No aplica RET</v>
      </c>
      <c r="Y11" s="15" t="str">
        <f t="shared" si="16"/>
        <v>En rango ambas líneas</v>
      </c>
      <c r="Z11" s="15" t="s">
        <v>19</v>
      </c>
    </row>
    <row r="12" spans="1:26" x14ac:dyDescent="0.35">
      <c r="A12" s="26" t="s">
        <v>17</v>
      </c>
      <c r="B12" s="15" t="s">
        <v>21</v>
      </c>
      <c r="C12" s="15" t="s">
        <v>6</v>
      </c>
      <c r="D12" s="25">
        <v>1</v>
      </c>
      <c r="E12" s="25">
        <v>0</v>
      </c>
      <c r="F12" s="25">
        <f t="shared" si="0"/>
        <v>0</v>
      </c>
      <c r="G12" s="18">
        <v>160</v>
      </c>
      <c r="H12" s="18">
        <f t="shared" si="1"/>
        <v>160</v>
      </c>
      <c r="I12" s="18">
        <v>88.5</v>
      </c>
      <c r="J12" s="18">
        <f t="shared" si="2"/>
        <v>-71.5</v>
      </c>
      <c r="K12" s="25">
        <f t="shared" si="3"/>
        <v>0.55312499999999998</v>
      </c>
      <c r="L12" s="18">
        <f t="shared" si="4"/>
        <v>0</v>
      </c>
      <c r="M12" s="18">
        <v>0</v>
      </c>
      <c r="N12" s="18">
        <f t="shared" si="5"/>
        <v>0</v>
      </c>
      <c r="O12" s="25" t="str">
        <f t="shared" si="6"/>
        <v/>
      </c>
      <c r="P12" s="18">
        <f t="shared" si="7"/>
        <v>160</v>
      </c>
      <c r="Q12" s="18">
        <f t="shared" si="8"/>
        <v>88.5</v>
      </c>
      <c r="R12" s="18">
        <f t="shared" si="9"/>
        <v>-71.5</v>
      </c>
      <c r="S12" s="25">
        <f t="shared" si="10"/>
        <v>1</v>
      </c>
      <c r="T12" s="25">
        <f t="shared" si="11"/>
        <v>0</v>
      </c>
      <c r="U12" s="25">
        <f t="shared" si="12"/>
        <v>0</v>
      </c>
      <c r="V12" s="25">
        <f t="shared" si="13"/>
        <v>0</v>
      </c>
      <c r="W12" s="28" t="str">
        <f t="shared" si="14"/>
        <v>Desviación Fixed</v>
      </c>
      <c r="X12" s="15" t="str">
        <f t="shared" si="15"/>
        <v>No aplica RET</v>
      </c>
      <c r="Y12" s="15" t="str">
        <f t="shared" si="16"/>
        <v>Revisar ambas líneas</v>
      </c>
      <c r="Z12" s="15" t="s">
        <v>19</v>
      </c>
    </row>
    <row r="13" spans="1:26" x14ac:dyDescent="0.35">
      <c r="A13" s="15" t="s">
        <v>17</v>
      </c>
      <c r="B13" s="15" t="s">
        <v>21</v>
      </c>
      <c r="C13" s="15" t="s">
        <v>7</v>
      </c>
      <c r="D13" s="25">
        <v>1</v>
      </c>
      <c r="E13" s="25">
        <v>0</v>
      </c>
      <c r="F13" s="25">
        <f t="shared" si="0"/>
        <v>0</v>
      </c>
      <c r="G13" s="18">
        <v>33.5</v>
      </c>
      <c r="H13" s="18">
        <f t="shared" si="1"/>
        <v>33.5</v>
      </c>
      <c r="I13" s="18">
        <v>0</v>
      </c>
      <c r="J13" s="18">
        <f t="shared" si="2"/>
        <v>-33.5</v>
      </c>
      <c r="K13" s="25">
        <f t="shared" si="3"/>
        <v>0</v>
      </c>
      <c r="L13" s="18">
        <f t="shared" si="4"/>
        <v>0</v>
      </c>
      <c r="M13" s="18">
        <v>0</v>
      </c>
      <c r="N13" s="18">
        <f t="shared" si="5"/>
        <v>0</v>
      </c>
      <c r="O13" s="25" t="str">
        <f t="shared" si="6"/>
        <v/>
      </c>
      <c r="P13" s="18">
        <f t="shared" si="7"/>
        <v>33.5</v>
      </c>
      <c r="Q13" s="18">
        <f t="shared" si="8"/>
        <v>0</v>
      </c>
      <c r="R13" s="18">
        <f t="shared" si="9"/>
        <v>-33.5</v>
      </c>
      <c r="S13" s="25" t="str">
        <f t="shared" si="10"/>
        <v/>
      </c>
      <c r="T13" s="25" t="str">
        <f t="shared" si="11"/>
        <v/>
      </c>
      <c r="U13" s="25" t="str">
        <f t="shared" si="12"/>
        <v/>
      </c>
      <c r="V13" s="25" t="str">
        <f t="shared" si="13"/>
        <v/>
      </c>
      <c r="W13" s="28" t="str">
        <f t="shared" si="14"/>
        <v>Sin horas Fixed</v>
      </c>
      <c r="X13" s="15" t="str">
        <f t="shared" si="15"/>
        <v>No aplica RET</v>
      </c>
      <c r="Y13" s="15" t="str">
        <f t="shared" si="16"/>
        <v>Revisar ambas líneas</v>
      </c>
      <c r="Z13" s="15" t="s">
        <v>19</v>
      </c>
    </row>
    <row r="14" spans="1:26" x14ac:dyDescent="0.35">
      <c r="A14" s="26" t="s">
        <v>22</v>
      </c>
      <c r="B14" s="15" t="s">
        <v>23</v>
      </c>
      <c r="C14" s="15" t="s">
        <v>5</v>
      </c>
      <c r="D14" s="25">
        <v>1</v>
      </c>
      <c r="E14" s="25">
        <v>0</v>
      </c>
      <c r="F14" s="25">
        <f t="shared" si="0"/>
        <v>0</v>
      </c>
      <c r="G14" s="18">
        <v>176</v>
      </c>
      <c r="H14" s="18">
        <f t="shared" si="1"/>
        <v>176</v>
      </c>
      <c r="I14" s="18">
        <v>179.5</v>
      </c>
      <c r="J14" s="18">
        <f t="shared" si="2"/>
        <v>3.5</v>
      </c>
      <c r="K14" s="25">
        <f t="shared" si="3"/>
        <v>1.0198863636363635</v>
      </c>
      <c r="L14" s="18">
        <f t="shared" si="4"/>
        <v>0</v>
      </c>
      <c r="M14" s="18">
        <v>0</v>
      </c>
      <c r="N14" s="18">
        <f t="shared" si="5"/>
        <v>0</v>
      </c>
      <c r="O14" s="25" t="str">
        <f t="shared" si="6"/>
        <v/>
      </c>
      <c r="P14" s="18">
        <f t="shared" si="7"/>
        <v>176</v>
      </c>
      <c r="Q14" s="18">
        <f t="shared" si="8"/>
        <v>179.5</v>
      </c>
      <c r="R14" s="18">
        <f t="shared" si="9"/>
        <v>3.5</v>
      </c>
      <c r="S14" s="25">
        <f t="shared" si="10"/>
        <v>1</v>
      </c>
      <c r="T14" s="25">
        <f t="shared" si="11"/>
        <v>0</v>
      </c>
      <c r="U14" s="25">
        <f t="shared" si="12"/>
        <v>0</v>
      </c>
      <c r="V14" s="25">
        <f t="shared" si="13"/>
        <v>0</v>
      </c>
      <c r="W14" s="29" t="str">
        <f t="shared" si="14"/>
        <v>En rango Fixed</v>
      </c>
      <c r="X14" s="15" t="str">
        <f t="shared" si="15"/>
        <v>No aplica RET</v>
      </c>
      <c r="Y14" s="15" t="str">
        <f t="shared" si="16"/>
        <v>En rango ambas líneas</v>
      </c>
      <c r="Z14" s="15" t="s">
        <v>19</v>
      </c>
    </row>
    <row r="15" spans="1:26" x14ac:dyDescent="0.35">
      <c r="A15" s="15" t="s">
        <v>22</v>
      </c>
      <c r="B15" s="15" t="s">
        <v>23</v>
      </c>
      <c r="C15" s="15" t="s">
        <v>6</v>
      </c>
      <c r="D15" s="25">
        <v>0.5</v>
      </c>
      <c r="E15" s="25">
        <v>0</v>
      </c>
      <c r="F15" s="25">
        <f t="shared" si="0"/>
        <v>0.5</v>
      </c>
      <c r="G15" s="18">
        <v>160</v>
      </c>
      <c r="H15" s="18">
        <f t="shared" si="1"/>
        <v>80</v>
      </c>
      <c r="I15" s="18">
        <v>157.5</v>
      </c>
      <c r="J15" s="18">
        <f t="shared" si="2"/>
        <v>77.5</v>
      </c>
      <c r="K15" s="25">
        <f t="shared" si="3"/>
        <v>1.96875</v>
      </c>
      <c r="L15" s="18">
        <f t="shared" si="4"/>
        <v>0</v>
      </c>
      <c r="M15" s="18">
        <v>0</v>
      </c>
      <c r="N15" s="18">
        <f t="shared" si="5"/>
        <v>0</v>
      </c>
      <c r="O15" s="25" t="str">
        <f t="shared" si="6"/>
        <v/>
      </c>
      <c r="P15" s="18">
        <f t="shared" si="7"/>
        <v>80</v>
      </c>
      <c r="Q15" s="18">
        <f t="shared" si="8"/>
        <v>157.5</v>
      </c>
      <c r="R15" s="18">
        <f t="shared" si="9"/>
        <v>77.5</v>
      </c>
      <c r="S15" s="25">
        <f t="shared" si="10"/>
        <v>1</v>
      </c>
      <c r="T15" s="25">
        <f t="shared" si="11"/>
        <v>0</v>
      </c>
      <c r="U15" s="25">
        <f t="shared" si="12"/>
        <v>0.5</v>
      </c>
      <c r="V15" s="25">
        <f t="shared" si="13"/>
        <v>0</v>
      </c>
      <c r="W15" s="28" t="str">
        <f t="shared" si="14"/>
        <v>Desviación Fixed</v>
      </c>
      <c r="X15" s="15" t="str">
        <f t="shared" si="15"/>
        <v>No aplica RET</v>
      </c>
      <c r="Y15" s="15" t="str">
        <f t="shared" si="16"/>
        <v>Revisar ambas líneas</v>
      </c>
      <c r="Z15" s="15" t="s">
        <v>19</v>
      </c>
    </row>
    <row r="16" spans="1:26" x14ac:dyDescent="0.35">
      <c r="A16" s="26" t="s">
        <v>22</v>
      </c>
      <c r="B16" s="15" t="s">
        <v>23</v>
      </c>
      <c r="C16" s="15" t="s">
        <v>7</v>
      </c>
      <c r="D16" s="25">
        <v>0</v>
      </c>
      <c r="E16" s="25">
        <v>0</v>
      </c>
      <c r="F16" s="25">
        <f t="shared" si="0"/>
        <v>1</v>
      </c>
      <c r="G16" s="18">
        <v>33.5</v>
      </c>
      <c r="H16" s="18">
        <f t="shared" si="1"/>
        <v>0</v>
      </c>
      <c r="I16" s="18">
        <v>0</v>
      </c>
      <c r="J16" s="18">
        <f t="shared" si="2"/>
        <v>0</v>
      </c>
      <c r="K16" s="25" t="str">
        <f t="shared" si="3"/>
        <v/>
      </c>
      <c r="L16" s="18">
        <f t="shared" si="4"/>
        <v>0</v>
      </c>
      <c r="M16" s="18">
        <v>0</v>
      </c>
      <c r="N16" s="18">
        <f t="shared" si="5"/>
        <v>0</v>
      </c>
      <c r="O16" s="25" t="str">
        <f t="shared" si="6"/>
        <v/>
      </c>
      <c r="P16" s="18">
        <f t="shared" si="7"/>
        <v>0</v>
      </c>
      <c r="Q16" s="18">
        <f t="shared" si="8"/>
        <v>0</v>
      </c>
      <c r="R16" s="18">
        <f t="shared" si="9"/>
        <v>0</v>
      </c>
      <c r="S16" s="25" t="str">
        <f t="shared" si="10"/>
        <v/>
      </c>
      <c r="T16" s="25" t="str">
        <f t="shared" si="11"/>
        <v/>
      </c>
      <c r="U16" s="25" t="str">
        <f t="shared" si="12"/>
        <v/>
      </c>
      <c r="V16" s="25" t="str">
        <f t="shared" si="13"/>
        <v/>
      </c>
      <c r="W16" s="29" t="str">
        <f t="shared" si="14"/>
        <v>No aplica Fixed</v>
      </c>
      <c r="X16" s="15" t="str">
        <f t="shared" si="15"/>
        <v>No aplica RET</v>
      </c>
      <c r="Y16" s="15" t="str">
        <f t="shared" si="16"/>
        <v>En rango - plan parcial</v>
      </c>
      <c r="Z16" s="15" t="s">
        <v>19</v>
      </c>
    </row>
    <row r="17" spans="1:26" x14ac:dyDescent="0.35">
      <c r="A17" s="15" t="s">
        <v>24</v>
      </c>
      <c r="B17" s="15" t="s">
        <v>25</v>
      </c>
      <c r="C17" s="15" t="s">
        <v>5</v>
      </c>
      <c r="D17" s="25">
        <v>1</v>
      </c>
      <c r="E17" s="25">
        <v>0</v>
      </c>
      <c r="F17" s="25">
        <f t="shared" si="0"/>
        <v>0</v>
      </c>
      <c r="G17" s="18">
        <v>176</v>
      </c>
      <c r="H17" s="18">
        <f t="shared" si="1"/>
        <v>176</v>
      </c>
      <c r="I17" s="18">
        <v>165</v>
      </c>
      <c r="J17" s="18">
        <f t="shared" si="2"/>
        <v>-11</v>
      </c>
      <c r="K17" s="25">
        <f t="shared" si="3"/>
        <v>0.9375</v>
      </c>
      <c r="L17" s="18">
        <f t="shared" si="4"/>
        <v>0</v>
      </c>
      <c r="M17" s="18">
        <v>0</v>
      </c>
      <c r="N17" s="18">
        <f t="shared" si="5"/>
        <v>0</v>
      </c>
      <c r="O17" s="25" t="str">
        <f t="shared" si="6"/>
        <v/>
      </c>
      <c r="P17" s="18">
        <f t="shared" si="7"/>
        <v>176</v>
      </c>
      <c r="Q17" s="18">
        <f t="shared" si="8"/>
        <v>165</v>
      </c>
      <c r="R17" s="18">
        <f t="shared" si="9"/>
        <v>-11</v>
      </c>
      <c r="S17" s="25">
        <f t="shared" si="10"/>
        <v>1</v>
      </c>
      <c r="T17" s="25">
        <f t="shared" si="11"/>
        <v>0</v>
      </c>
      <c r="U17" s="25">
        <f t="shared" si="12"/>
        <v>0</v>
      </c>
      <c r="V17" s="25">
        <f t="shared" si="13"/>
        <v>0</v>
      </c>
      <c r="W17" s="29" t="str">
        <f t="shared" si="14"/>
        <v>En rango Fixed</v>
      </c>
      <c r="X17" s="15" t="str">
        <f t="shared" si="15"/>
        <v>No aplica RET</v>
      </c>
      <c r="Y17" s="15" t="str">
        <f t="shared" si="16"/>
        <v>En rango ambas líneas</v>
      </c>
      <c r="Z17" s="15" t="s">
        <v>19</v>
      </c>
    </row>
    <row r="18" spans="1:26" x14ac:dyDescent="0.35">
      <c r="A18" s="26" t="s">
        <v>24</v>
      </c>
      <c r="B18" s="15" t="s">
        <v>25</v>
      </c>
      <c r="C18" s="15" t="s">
        <v>6</v>
      </c>
      <c r="D18" s="25">
        <v>1</v>
      </c>
      <c r="E18" s="25">
        <v>0</v>
      </c>
      <c r="F18" s="25">
        <f t="shared" si="0"/>
        <v>0</v>
      </c>
      <c r="G18" s="18">
        <v>160</v>
      </c>
      <c r="H18" s="18">
        <f t="shared" si="1"/>
        <v>160</v>
      </c>
      <c r="I18" s="18">
        <v>149.5</v>
      </c>
      <c r="J18" s="18">
        <f t="shared" si="2"/>
        <v>-10.5</v>
      </c>
      <c r="K18" s="25">
        <f t="shared" si="3"/>
        <v>0.93437499999999996</v>
      </c>
      <c r="L18" s="18">
        <f t="shared" si="4"/>
        <v>0</v>
      </c>
      <c r="M18" s="18">
        <v>0</v>
      </c>
      <c r="N18" s="18">
        <f t="shared" si="5"/>
        <v>0</v>
      </c>
      <c r="O18" s="25" t="str">
        <f t="shared" si="6"/>
        <v/>
      </c>
      <c r="P18" s="18">
        <f t="shared" si="7"/>
        <v>160</v>
      </c>
      <c r="Q18" s="18">
        <f t="shared" si="8"/>
        <v>149.5</v>
      </c>
      <c r="R18" s="18">
        <f t="shared" si="9"/>
        <v>-10.5</v>
      </c>
      <c r="S18" s="25">
        <f t="shared" si="10"/>
        <v>1</v>
      </c>
      <c r="T18" s="25">
        <f t="shared" si="11"/>
        <v>0</v>
      </c>
      <c r="U18" s="25">
        <f t="shared" si="12"/>
        <v>0</v>
      </c>
      <c r="V18" s="25">
        <f t="shared" si="13"/>
        <v>0</v>
      </c>
      <c r="W18" s="29" t="str">
        <f t="shared" si="14"/>
        <v>En rango Fixed</v>
      </c>
      <c r="X18" s="15" t="str">
        <f t="shared" si="15"/>
        <v>No aplica RET</v>
      </c>
      <c r="Y18" s="15" t="str">
        <f t="shared" si="16"/>
        <v>En rango ambas líneas</v>
      </c>
      <c r="Z18" s="15" t="s">
        <v>19</v>
      </c>
    </row>
    <row r="19" spans="1:26" x14ac:dyDescent="0.35">
      <c r="A19" s="15" t="s">
        <v>24</v>
      </c>
      <c r="B19" s="15" t="s">
        <v>25</v>
      </c>
      <c r="C19" s="15" t="s">
        <v>7</v>
      </c>
      <c r="D19" s="25">
        <v>1</v>
      </c>
      <c r="E19" s="25">
        <v>0</v>
      </c>
      <c r="F19" s="25">
        <f t="shared" si="0"/>
        <v>0</v>
      </c>
      <c r="G19" s="18">
        <v>33.5</v>
      </c>
      <c r="H19" s="18">
        <f t="shared" si="1"/>
        <v>33.5</v>
      </c>
      <c r="I19" s="18">
        <v>33.5</v>
      </c>
      <c r="J19" s="18">
        <f t="shared" si="2"/>
        <v>0</v>
      </c>
      <c r="K19" s="25">
        <f t="shared" si="3"/>
        <v>1</v>
      </c>
      <c r="L19" s="18">
        <f t="shared" si="4"/>
        <v>0</v>
      </c>
      <c r="M19" s="18">
        <v>0</v>
      </c>
      <c r="N19" s="18">
        <f t="shared" si="5"/>
        <v>0</v>
      </c>
      <c r="O19" s="25" t="str">
        <f t="shared" si="6"/>
        <v/>
      </c>
      <c r="P19" s="18">
        <f t="shared" si="7"/>
        <v>33.5</v>
      </c>
      <c r="Q19" s="18">
        <f t="shared" si="8"/>
        <v>33.5</v>
      </c>
      <c r="R19" s="18">
        <f t="shared" si="9"/>
        <v>0</v>
      </c>
      <c r="S19" s="25">
        <f t="shared" si="10"/>
        <v>1</v>
      </c>
      <c r="T19" s="25">
        <f t="shared" si="11"/>
        <v>0</v>
      </c>
      <c r="U19" s="25">
        <f t="shared" si="12"/>
        <v>0</v>
      </c>
      <c r="V19" s="25">
        <f t="shared" si="13"/>
        <v>0</v>
      </c>
      <c r="W19" s="29" t="str">
        <f t="shared" si="14"/>
        <v>En rango Fixed</v>
      </c>
      <c r="X19" s="15" t="str">
        <f t="shared" si="15"/>
        <v>No aplica RET</v>
      </c>
      <c r="Y19" s="15" t="str">
        <f t="shared" si="16"/>
        <v>En rango ambas líneas</v>
      </c>
      <c r="Z19" s="15" t="s">
        <v>19</v>
      </c>
    </row>
    <row r="20" spans="1:26" x14ac:dyDescent="0.35">
      <c r="A20" s="26" t="s">
        <v>24</v>
      </c>
      <c r="B20" s="15" t="s">
        <v>26</v>
      </c>
      <c r="C20" s="15" t="s">
        <v>5</v>
      </c>
      <c r="D20" s="25">
        <v>1</v>
      </c>
      <c r="E20" s="25">
        <v>0</v>
      </c>
      <c r="F20" s="25">
        <f t="shared" si="0"/>
        <v>0</v>
      </c>
      <c r="G20" s="18">
        <v>176</v>
      </c>
      <c r="H20" s="18">
        <f t="shared" si="1"/>
        <v>176</v>
      </c>
      <c r="I20" s="18">
        <v>117.5</v>
      </c>
      <c r="J20" s="18">
        <f t="shared" si="2"/>
        <v>-58.5</v>
      </c>
      <c r="K20" s="25">
        <f t="shared" si="3"/>
        <v>0.66761363636363635</v>
      </c>
      <c r="L20" s="18">
        <f t="shared" si="4"/>
        <v>0</v>
      </c>
      <c r="M20" s="18">
        <v>0</v>
      </c>
      <c r="N20" s="18">
        <f t="shared" si="5"/>
        <v>0</v>
      </c>
      <c r="O20" s="25" t="str">
        <f t="shared" si="6"/>
        <v/>
      </c>
      <c r="P20" s="18">
        <f t="shared" si="7"/>
        <v>176</v>
      </c>
      <c r="Q20" s="18">
        <f t="shared" si="8"/>
        <v>117.5</v>
      </c>
      <c r="R20" s="18">
        <f t="shared" si="9"/>
        <v>-58.5</v>
      </c>
      <c r="S20" s="25">
        <f t="shared" si="10"/>
        <v>1</v>
      </c>
      <c r="T20" s="25">
        <f t="shared" si="11"/>
        <v>0</v>
      </c>
      <c r="U20" s="25">
        <f t="shared" si="12"/>
        <v>0</v>
      </c>
      <c r="V20" s="25">
        <f t="shared" si="13"/>
        <v>0</v>
      </c>
      <c r="W20" s="28" t="str">
        <f t="shared" si="14"/>
        <v>Desviación Fixed</v>
      </c>
      <c r="X20" s="15" t="str">
        <f t="shared" si="15"/>
        <v>No aplica RET</v>
      </c>
      <c r="Y20" s="15" t="str">
        <f t="shared" si="16"/>
        <v>Revisar ambas líneas</v>
      </c>
      <c r="Z20" s="15" t="s">
        <v>19</v>
      </c>
    </row>
    <row r="21" spans="1:26" x14ac:dyDescent="0.35">
      <c r="A21" s="15" t="s">
        <v>24</v>
      </c>
      <c r="B21" s="15" t="s">
        <v>26</v>
      </c>
      <c r="C21" s="15" t="s">
        <v>6</v>
      </c>
      <c r="D21" s="25">
        <v>1</v>
      </c>
      <c r="E21" s="25">
        <v>0</v>
      </c>
      <c r="F21" s="25">
        <f t="shared" si="0"/>
        <v>0</v>
      </c>
      <c r="G21" s="18">
        <v>160</v>
      </c>
      <c r="H21" s="18">
        <f t="shared" si="1"/>
        <v>160</v>
      </c>
      <c r="I21" s="18">
        <v>140.5</v>
      </c>
      <c r="J21" s="18">
        <f t="shared" si="2"/>
        <v>-19.5</v>
      </c>
      <c r="K21" s="25">
        <f t="shared" si="3"/>
        <v>0.87812500000000004</v>
      </c>
      <c r="L21" s="18">
        <f t="shared" si="4"/>
        <v>0</v>
      </c>
      <c r="M21" s="18">
        <v>0</v>
      </c>
      <c r="N21" s="18">
        <f t="shared" si="5"/>
        <v>0</v>
      </c>
      <c r="O21" s="25" t="str">
        <f t="shared" si="6"/>
        <v/>
      </c>
      <c r="P21" s="18">
        <f t="shared" si="7"/>
        <v>160</v>
      </c>
      <c r="Q21" s="18">
        <f t="shared" si="8"/>
        <v>140.5</v>
      </c>
      <c r="R21" s="18">
        <f t="shared" si="9"/>
        <v>-19.5</v>
      </c>
      <c r="S21" s="25">
        <f t="shared" si="10"/>
        <v>1</v>
      </c>
      <c r="T21" s="25">
        <f t="shared" si="11"/>
        <v>0</v>
      </c>
      <c r="U21" s="25">
        <f t="shared" si="12"/>
        <v>0</v>
      </c>
      <c r="V21" s="25">
        <f t="shared" si="13"/>
        <v>0</v>
      </c>
      <c r="W21" s="28" t="str">
        <f t="shared" si="14"/>
        <v>Desviación Fixed</v>
      </c>
      <c r="X21" s="15" t="str">
        <f t="shared" si="15"/>
        <v>No aplica RET</v>
      </c>
      <c r="Y21" s="15" t="str">
        <f t="shared" si="16"/>
        <v>Revisar ambas líneas</v>
      </c>
      <c r="Z21" s="15" t="s">
        <v>19</v>
      </c>
    </row>
    <row r="22" spans="1:26" x14ac:dyDescent="0.35">
      <c r="A22" s="26" t="s">
        <v>24</v>
      </c>
      <c r="B22" s="15" t="s">
        <v>26</v>
      </c>
      <c r="C22" s="15" t="s">
        <v>7</v>
      </c>
      <c r="D22" s="25">
        <v>1</v>
      </c>
      <c r="E22" s="25">
        <v>0</v>
      </c>
      <c r="F22" s="25">
        <f t="shared" si="0"/>
        <v>0</v>
      </c>
      <c r="G22" s="18">
        <v>33.5</v>
      </c>
      <c r="H22" s="18">
        <f t="shared" si="1"/>
        <v>33.5</v>
      </c>
      <c r="I22" s="18">
        <v>15</v>
      </c>
      <c r="J22" s="18">
        <f t="shared" si="2"/>
        <v>-18.5</v>
      </c>
      <c r="K22" s="25">
        <f t="shared" si="3"/>
        <v>0.44776119402985076</v>
      </c>
      <c r="L22" s="18">
        <f t="shared" si="4"/>
        <v>0</v>
      </c>
      <c r="M22" s="18">
        <v>0</v>
      </c>
      <c r="N22" s="18">
        <f t="shared" si="5"/>
        <v>0</v>
      </c>
      <c r="O22" s="25" t="str">
        <f t="shared" si="6"/>
        <v/>
      </c>
      <c r="P22" s="18">
        <f t="shared" si="7"/>
        <v>33.5</v>
      </c>
      <c r="Q22" s="18">
        <f t="shared" si="8"/>
        <v>15</v>
      </c>
      <c r="R22" s="18">
        <f t="shared" si="9"/>
        <v>-18.5</v>
      </c>
      <c r="S22" s="25">
        <f t="shared" si="10"/>
        <v>1</v>
      </c>
      <c r="T22" s="25">
        <f t="shared" si="11"/>
        <v>0</v>
      </c>
      <c r="U22" s="25">
        <f t="shared" si="12"/>
        <v>0</v>
      </c>
      <c r="V22" s="25">
        <f t="shared" si="13"/>
        <v>0</v>
      </c>
      <c r="W22" s="28" t="str">
        <f t="shared" si="14"/>
        <v>Desviación Fixed</v>
      </c>
      <c r="X22" s="15" t="str">
        <f t="shared" si="15"/>
        <v>No aplica RET</v>
      </c>
      <c r="Y22" s="15" t="str">
        <f t="shared" si="16"/>
        <v>Revisar ambas líneas</v>
      </c>
      <c r="Z22" s="15" t="s">
        <v>19</v>
      </c>
    </row>
    <row r="23" spans="1:26" x14ac:dyDescent="0.35">
      <c r="A23" s="15" t="s">
        <v>24</v>
      </c>
      <c r="B23" s="15" t="s">
        <v>27</v>
      </c>
      <c r="C23" s="15" t="s">
        <v>5</v>
      </c>
      <c r="D23" s="25">
        <v>1</v>
      </c>
      <c r="E23" s="25">
        <v>0</v>
      </c>
      <c r="F23" s="25">
        <f t="shared" si="0"/>
        <v>0</v>
      </c>
      <c r="G23" s="18">
        <v>176</v>
      </c>
      <c r="H23" s="18">
        <f t="shared" si="1"/>
        <v>176</v>
      </c>
      <c r="I23" s="18">
        <v>110</v>
      </c>
      <c r="J23" s="18">
        <f t="shared" si="2"/>
        <v>-66</v>
      </c>
      <c r="K23" s="25">
        <f t="shared" si="3"/>
        <v>0.625</v>
      </c>
      <c r="L23" s="18">
        <f t="shared" si="4"/>
        <v>0</v>
      </c>
      <c r="M23" s="18">
        <v>0</v>
      </c>
      <c r="N23" s="18">
        <f t="shared" si="5"/>
        <v>0</v>
      </c>
      <c r="O23" s="25" t="str">
        <f t="shared" si="6"/>
        <v/>
      </c>
      <c r="P23" s="18">
        <f t="shared" si="7"/>
        <v>176</v>
      </c>
      <c r="Q23" s="18">
        <f t="shared" si="8"/>
        <v>110</v>
      </c>
      <c r="R23" s="18">
        <f t="shared" si="9"/>
        <v>-66</v>
      </c>
      <c r="S23" s="25">
        <f t="shared" si="10"/>
        <v>1</v>
      </c>
      <c r="T23" s="25">
        <f t="shared" si="11"/>
        <v>0</v>
      </c>
      <c r="U23" s="25">
        <f t="shared" si="12"/>
        <v>0</v>
      </c>
      <c r="V23" s="25">
        <f t="shared" si="13"/>
        <v>0</v>
      </c>
      <c r="W23" s="28" t="str">
        <f t="shared" si="14"/>
        <v>Desviación Fixed</v>
      </c>
      <c r="X23" s="15" t="str">
        <f t="shared" si="15"/>
        <v>No aplica RET</v>
      </c>
      <c r="Y23" s="15" t="str">
        <f t="shared" si="16"/>
        <v>Revisar ambas líneas</v>
      </c>
      <c r="Z23" s="15" t="s">
        <v>19</v>
      </c>
    </row>
    <row r="24" spans="1:26" x14ac:dyDescent="0.35">
      <c r="A24" s="26" t="s">
        <v>24</v>
      </c>
      <c r="B24" s="15" t="s">
        <v>27</v>
      </c>
      <c r="C24" s="15" t="s">
        <v>6</v>
      </c>
      <c r="D24" s="25">
        <v>0</v>
      </c>
      <c r="E24" s="25">
        <v>0</v>
      </c>
      <c r="F24" s="25">
        <f t="shared" si="0"/>
        <v>1</v>
      </c>
      <c r="G24" s="18">
        <v>160</v>
      </c>
      <c r="H24" s="18">
        <f t="shared" si="1"/>
        <v>0</v>
      </c>
      <c r="I24" s="18">
        <v>70</v>
      </c>
      <c r="J24" s="18">
        <f t="shared" si="2"/>
        <v>70</v>
      </c>
      <c r="K24" s="25" t="str">
        <f t="shared" si="3"/>
        <v/>
      </c>
      <c r="L24" s="18">
        <f t="shared" si="4"/>
        <v>0</v>
      </c>
      <c r="M24" s="18">
        <v>0</v>
      </c>
      <c r="N24" s="18">
        <f t="shared" si="5"/>
        <v>0</v>
      </c>
      <c r="O24" s="25" t="str">
        <f t="shared" si="6"/>
        <v/>
      </c>
      <c r="P24" s="18">
        <f t="shared" si="7"/>
        <v>0</v>
      </c>
      <c r="Q24" s="18">
        <f t="shared" si="8"/>
        <v>70</v>
      </c>
      <c r="R24" s="18">
        <f t="shared" si="9"/>
        <v>70</v>
      </c>
      <c r="S24" s="25">
        <f t="shared" si="10"/>
        <v>1</v>
      </c>
      <c r="T24" s="25">
        <f t="shared" si="11"/>
        <v>0</v>
      </c>
      <c r="U24" s="25">
        <f t="shared" si="12"/>
        <v>1</v>
      </c>
      <c r="V24" s="25">
        <f t="shared" si="13"/>
        <v>0</v>
      </c>
      <c r="W24" s="28" t="str">
        <f t="shared" si="14"/>
        <v>Carga no planeada Fixed</v>
      </c>
      <c r="X24" s="15" t="str">
        <f t="shared" si="15"/>
        <v>No aplica RET</v>
      </c>
      <c r="Y24" s="15" t="str">
        <f t="shared" si="16"/>
        <v>Revisar ambas líneas</v>
      </c>
      <c r="Z24" s="15" t="s">
        <v>19</v>
      </c>
    </row>
    <row r="25" spans="1:26" x14ac:dyDescent="0.35">
      <c r="A25" s="15" t="s">
        <v>24</v>
      </c>
      <c r="B25" s="15" t="s">
        <v>27</v>
      </c>
      <c r="C25" s="15" t="s">
        <v>7</v>
      </c>
      <c r="D25" s="25">
        <v>0</v>
      </c>
      <c r="E25" s="25">
        <v>0</v>
      </c>
      <c r="F25" s="25">
        <f t="shared" si="0"/>
        <v>1</v>
      </c>
      <c r="G25" s="18">
        <v>33.5</v>
      </c>
      <c r="H25" s="18">
        <f t="shared" si="1"/>
        <v>0</v>
      </c>
      <c r="I25" s="18">
        <v>0</v>
      </c>
      <c r="J25" s="18">
        <f t="shared" si="2"/>
        <v>0</v>
      </c>
      <c r="K25" s="25" t="str">
        <f t="shared" si="3"/>
        <v/>
      </c>
      <c r="L25" s="18">
        <f t="shared" si="4"/>
        <v>0</v>
      </c>
      <c r="M25" s="18">
        <v>0</v>
      </c>
      <c r="N25" s="18">
        <f t="shared" si="5"/>
        <v>0</v>
      </c>
      <c r="O25" s="25" t="str">
        <f t="shared" si="6"/>
        <v/>
      </c>
      <c r="P25" s="18">
        <f t="shared" si="7"/>
        <v>0</v>
      </c>
      <c r="Q25" s="18">
        <f t="shared" si="8"/>
        <v>0</v>
      </c>
      <c r="R25" s="18">
        <f t="shared" si="9"/>
        <v>0</v>
      </c>
      <c r="S25" s="25" t="str">
        <f t="shared" si="10"/>
        <v/>
      </c>
      <c r="T25" s="25" t="str">
        <f t="shared" si="11"/>
        <v/>
      </c>
      <c r="U25" s="25" t="str">
        <f t="shared" si="12"/>
        <v/>
      </c>
      <c r="V25" s="25" t="str">
        <f t="shared" si="13"/>
        <v/>
      </c>
      <c r="W25" s="29" t="str">
        <f t="shared" si="14"/>
        <v>No aplica Fixed</v>
      </c>
      <c r="X25" s="15" t="str">
        <f t="shared" si="15"/>
        <v>No aplica RET</v>
      </c>
      <c r="Y25" s="15" t="str">
        <f t="shared" si="16"/>
        <v>En rango - plan parcial</v>
      </c>
      <c r="Z25" s="15" t="s">
        <v>19</v>
      </c>
    </row>
    <row r="26" spans="1:26" x14ac:dyDescent="0.35">
      <c r="A26" s="26" t="s">
        <v>24</v>
      </c>
      <c r="B26" s="15" t="s">
        <v>28</v>
      </c>
      <c r="C26" s="15" t="s">
        <v>5</v>
      </c>
      <c r="D26" s="25">
        <v>1</v>
      </c>
      <c r="E26" s="25">
        <v>0</v>
      </c>
      <c r="F26" s="25">
        <f t="shared" si="0"/>
        <v>0</v>
      </c>
      <c r="G26" s="18">
        <v>176</v>
      </c>
      <c r="H26" s="18">
        <f t="shared" si="1"/>
        <v>176</v>
      </c>
      <c r="I26" s="18">
        <v>108</v>
      </c>
      <c r="J26" s="18">
        <f t="shared" si="2"/>
        <v>-68</v>
      </c>
      <c r="K26" s="25">
        <f t="shared" si="3"/>
        <v>0.61363636363636365</v>
      </c>
      <c r="L26" s="18">
        <f t="shared" si="4"/>
        <v>0</v>
      </c>
      <c r="M26" s="18">
        <v>0</v>
      </c>
      <c r="N26" s="18">
        <f t="shared" si="5"/>
        <v>0</v>
      </c>
      <c r="O26" s="25" t="str">
        <f t="shared" si="6"/>
        <v/>
      </c>
      <c r="P26" s="18">
        <f t="shared" si="7"/>
        <v>176</v>
      </c>
      <c r="Q26" s="18">
        <f t="shared" si="8"/>
        <v>108</v>
      </c>
      <c r="R26" s="18">
        <f t="shared" si="9"/>
        <v>-68</v>
      </c>
      <c r="S26" s="25">
        <f t="shared" si="10"/>
        <v>1</v>
      </c>
      <c r="T26" s="25">
        <f t="shared" si="11"/>
        <v>0</v>
      </c>
      <c r="U26" s="25">
        <f t="shared" si="12"/>
        <v>0</v>
      </c>
      <c r="V26" s="25">
        <f t="shared" si="13"/>
        <v>0</v>
      </c>
      <c r="W26" s="28" t="str">
        <f t="shared" si="14"/>
        <v>Desviación Fixed</v>
      </c>
      <c r="X26" s="15" t="str">
        <f t="shared" si="15"/>
        <v>No aplica RET</v>
      </c>
      <c r="Y26" s="15" t="str">
        <f t="shared" si="16"/>
        <v>Revisar ambas líneas</v>
      </c>
      <c r="Z26" s="15" t="s">
        <v>19</v>
      </c>
    </row>
    <row r="27" spans="1:26" x14ac:dyDescent="0.35">
      <c r="A27" s="15" t="s">
        <v>24</v>
      </c>
      <c r="B27" s="15" t="s">
        <v>28</v>
      </c>
      <c r="C27" s="15" t="s">
        <v>6</v>
      </c>
      <c r="D27" s="25">
        <v>0</v>
      </c>
      <c r="E27" s="25">
        <v>0</v>
      </c>
      <c r="F27" s="25">
        <f t="shared" si="0"/>
        <v>1</v>
      </c>
      <c r="G27" s="18">
        <v>160</v>
      </c>
      <c r="H27" s="18">
        <f t="shared" si="1"/>
        <v>0</v>
      </c>
      <c r="I27" s="18">
        <v>0</v>
      </c>
      <c r="J27" s="18">
        <f t="shared" si="2"/>
        <v>0</v>
      </c>
      <c r="K27" s="25" t="str">
        <f t="shared" si="3"/>
        <v/>
      </c>
      <c r="L27" s="18">
        <f t="shared" si="4"/>
        <v>0</v>
      </c>
      <c r="M27" s="18">
        <v>0</v>
      </c>
      <c r="N27" s="18">
        <f t="shared" si="5"/>
        <v>0</v>
      </c>
      <c r="O27" s="25" t="str">
        <f t="shared" si="6"/>
        <v/>
      </c>
      <c r="P27" s="18">
        <f t="shared" si="7"/>
        <v>0</v>
      </c>
      <c r="Q27" s="18">
        <f t="shared" si="8"/>
        <v>0</v>
      </c>
      <c r="R27" s="18">
        <f t="shared" si="9"/>
        <v>0</v>
      </c>
      <c r="S27" s="25" t="str">
        <f t="shared" si="10"/>
        <v/>
      </c>
      <c r="T27" s="25" t="str">
        <f t="shared" si="11"/>
        <v/>
      </c>
      <c r="U27" s="25" t="str">
        <f t="shared" si="12"/>
        <v/>
      </c>
      <c r="V27" s="25" t="str">
        <f t="shared" si="13"/>
        <v/>
      </c>
      <c r="W27" s="29" t="str">
        <f t="shared" si="14"/>
        <v>No aplica Fixed</v>
      </c>
      <c r="X27" s="15" t="str">
        <f t="shared" si="15"/>
        <v>No aplica RET</v>
      </c>
      <c r="Y27" s="15" t="str">
        <f t="shared" si="16"/>
        <v>En rango - plan parcial</v>
      </c>
      <c r="Z27" s="15" t="s">
        <v>19</v>
      </c>
    </row>
    <row r="28" spans="1:26" x14ac:dyDescent="0.35">
      <c r="A28" s="26" t="s">
        <v>24</v>
      </c>
      <c r="B28" s="15" t="s">
        <v>28</v>
      </c>
      <c r="C28" s="15" t="s">
        <v>7</v>
      </c>
      <c r="D28" s="25">
        <v>0</v>
      </c>
      <c r="E28" s="25">
        <v>0</v>
      </c>
      <c r="F28" s="25">
        <f t="shared" si="0"/>
        <v>1</v>
      </c>
      <c r="G28" s="18">
        <v>33.5</v>
      </c>
      <c r="H28" s="18">
        <f t="shared" si="1"/>
        <v>0</v>
      </c>
      <c r="I28" s="18">
        <v>0</v>
      </c>
      <c r="J28" s="18">
        <f t="shared" si="2"/>
        <v>0</v>
      </c>
      <c r="K28" s="25" t="str">
        <f t="shared" si="3"/>
        <v/>
      </c>
      <c r="L28" s="18">
        <f t="shared" si="4"/>
        <v>0</v>
      </c>
      <c r="M28" s="18">
        <v>0</v>
      </c>
      <c r="N28" s="18">
        <f t="shared" si="5"/>
        <v>0</v>
      </c>
      <c r="O28" s="25" t="str">
        <f t="shared" si="6"/>
        <v/>
      </c>
      <c r="P28" s="18">
        <f t="shared" si="7"/>
        <v>0</v>
      </c>
      <c r="Q28" s="18">
        <f t="shared" si="8"/>
        <v>0</v>
      </c>
      <c r="R28" s="18">
        <f t="shared" si="9"/>
        <v>0</v>
      </c>
      <c r="S28" s="25" t="str">
        <f t="shared" si="10"/>
        <v/>
      </c>
      <c r="T28" s="25" t="str">
        <f t="shared" si="11"/>
        <v/>
      </c>
      <c r="U28" s="25" t="str">
        <f t="shared" si="12"/>
        <v/>
      </c>
      <c r="V28" s="25" t="str">
        <f t="shared" si="13"/>
        <v/>
      </c>
      <c r="W28" s="29" t="str">
        <f t="shared" si="14"/>
        <v>No aplica Fixed</v>
      </c>
      <c r="X28" s="15" t="str">
        <f t="shared" si="15"/>
        <v>No aplica RET</v>
      </c>
      <c r="Y28" s="15" t="str">
        <f t="shared" si="16"/>
        <v>En rango - plan parcial</v>
      </c>
      <c r="Z28" s="15" t="s">
        <v>19</v>
      </c>
    </row>
    <row r="29" spans="1:26" x14ac:dyDescent="0.35">
      <c r="A29" s="15" t="s">
        <v>29</v>
      </c>
      <c r="B29" s="15" t="s">
        <v>30</v>
      </c>
      <c r="C29" s="15" t="s">
        <v>5</v>
      </c>
      <c r="D29" s="25">
        <v>1</v>
      </c>
      <c r="E29" s="25">
        <v>0</v>
      </c>
      <c r="F29" s="25">
        <f t="shared" si="0"/>
        <v>0</v>
      </c>
      <c r="G29" s="18">
        <v>176</v>
      </c>
      <c r="H29" s="18">
        <f t="shared" si="1"/>
        <v>176</v>
      </c>
      <c r="I29" s="18">
        <v>205</v>
      </c>
      <c r="J29" s="18">
        <f t="shared" si="2"/>
        <v>29</v>
      </c>
      <c r="K29" s="25">
        <f t="shared" si="3"/>
        <v>1.1647727272727273</v>
      </c>
      <c r="L29" s="18">
        <f t="shared" si="4"/>
        <v>0</v>
      </c>
      <c r="M29" s="18">
        <v>0</v>
      </c>
      <c r="N29" s="18">
        <f t="shared" si="5"/>
        <v>0</v>
      </c>
      <c r="O29" s="25" t="str">
        <f t="shared" si="6"/>
        <v/>
      </c>
      <c r="P29" s="18">
        <f t="shared" si="7"/>
        <v>176</v>
      </c>
      <c r="Q29" s="18">
        <f t="shared" si="8"/>
        <v>205</v>
      </c>
      <c r="R29" s="18">
        <f t="shared" si="9"/>
        <v>29</v>
      </c>
      <c r="S29" s="25">
        <f t="shared" si="10"/>
        <v>1</v>
      </c>
      <c r="T29" s="25">
        <f t="shared" si="11"/>
        <v>0</v>
      </c>
      <c r="U29" s="25">
        <f t="shared" si="12"/>
        <v>0</v>
      </c>
      <c r="V29" s="25">
        <f t="shared" si="13"/>
        <v>0</v>
      </c>
      <c r="W29" s="28" t="str">
        <f t="shared" si="14"/>
        <v>Desviación Fixed</v>
      </c>
      <c r="X29" s="15" t="str">
        <f t="shared" si="15"/>
        <v>No aplica RET</v>
      </c>
      <c r="Y29" s="15" t="str">
        <f t="shared" si="16"/>
        <v>Revisar ambas líneas</v>
      </c>
      <c r="Z29" s="15" t="s">
        <v>19</v>
      </c>
    </row>
    <row r="30" spans="1:26" x14ac:dyDescent="0.35">
      <c r="A30" s="26" t="s">
        <v>29</v>
      </c>
      <c r="B30" s="15" t="s">
        <v>30</v>
      </c>
      <c r="C30" s="15" t="s">
        <v>6</v>
      </c>
      <c r="D30" s="25">
        <v>0.9</v>
      </c>
      <c r="E30" s="25">
        <v>0.1</v>
      </c>
      <c r="F30" s="25">
        <f t="shared" si="0"/>
        <v>0</v>
      </c>
      <c r="G30" s="18">
        <v>160</v>
      </c>
      <c r="H30" s="18">
        <f t="shared" si="1"/>
        <v>144</v>
      </c>
      <c r="I30" s="18">
        <v>102.5</v>
      </c>
      <c r="J30" s="18">
        <f t="shared" si="2"/>
        <v>-41.5</v>
      </c>
      <c r="K30" s="25">
        <f t="shared" si="3"/>
        <v>0.71180555555555558</v>
      </c>
      <c r="L30" s="18">
        <f t="shared" si="4"/>
        <v>16</v>
      </c>
      <c r="M30" s="18">
        <v>8</v>
      </c>
      <c r="N30" s="18">
        <f t="shared" si="5"/>
        <v>-8</v>
      </c>
      <c r="O30" s="25">
        <f t="shared" si="6"/>
        <v>0.5</v>
      </c>
      <c r="P30" s="18">
        <f t="shared" si="7"/>
        <v>160</v>
      </c>
      <c r="Q30" s="18">
        <f t="shared" si="8"/>
        <v>110.5</v>
      </c>
      <c r="R30" s="18">
        <f t="shared" si="9"/>
        <v>-49.5</v>
      </c>
      <c r="S30" s="25">
        <f t="shared" si="10"/>
        <v>0.92760180995475117</v>
      </c>
      <c r="T30" s="25">
        <f t="shared" si="11"/>
        <v>7.2398190045248875E-2</v>
      </c>
      <c r="U30" s="25">
        <f t="shared" si="12"/>
        <v>2.7601809954751144E-2</v>
      </c>
      <c r="V30" s="25">
        <f t="shared" si="13"/>
        <v>-2.760180995475113E-2</v>
      </c>
      <c r="W30" s="28" t="str">
        <f t="shared" si="14"/>
        <v>Desviación Fixed</v>
      </c>
      <c r="X30" s="15" t="str">
        <f t="shared" si="15"/>
        <v>En rango RET</v>
      </c>
      <c r="Y30" s="15" t="str">
        <f t="shared" si="16"/>
        <v>Revisar ambas líneas</v>
      </c>
      <c r="Z30" s="15" t="s">
        <v>19</v>
      </c>
    </row>
    <row r="31" spans="1:26" x14ac:dyDescent="0.35">
      <c r="A31" s="15" t="s">
        <v>29</v>
      </c>
      <c r="B31" s="15" t="s">
        <v>30</v>
      </c>
      <c r="C31" s="15" t="s">
        <v>7</v>
      </c>
      <c r="D31" s="25">
        <v>0.5</v>
      </c>
      <c r="E31" s="25">
        <v>0.1</v>
      </c>
      <c r="F31" s="25">
        <f t="shared" si="0"/>
        <v>0.4</v>
      </c>
      <c r="G31" s="18">
        <v>33.5</v>
      </c>
      <c r="H31" s="18">
        <f t="shared" si="1"/>
        <v>16.75</v>
      </c>
      <c r="I31" s="18">
        <v>0</v>
      </c>
      <c r="J31" s="18">
        <f t="shared" si="2"/>
        <v>-16.75</v>
      </c>
      <c r="K31" s="25">
        <f t="shared" si="3"/>
        <v>0</v>
      </c>
      <c r="L31" s="18">
        <f t="shared" si="4"/>
        <v>3.35</v>
      </c>
      <c r="M31" s="18">
        <v>0</v>
      </c>
      <c r="N31" s="18">
        <f t="shared" si="5"/>
        <v>-3.35</v>
      </c>
      <c r="O31" s="25">
        <f t="shared" si="6"/>
        <v>0</v>
      </c>
      <c r="P31" s="18">
        <f t="shared" si="7"/>
        <v>20.100000000000001</v>
      </c>
      <c r="Q31" s="18">
        <f t="shared" si="8"/>
        <v>0</v>
      </c>
      <c r="R31" s="18">
        <f t="shared" si="9"/>
        <v>-20.100000000000001</v>
      </c>
      <c r="S31" s="25" t="str">
        <f t="shared" si="10"/>
        <v/>
      </c>
      <c r="T31" s="25" t="str">
        <f t="shared" si="11"/>
        <v/>
      </c>
      <c r="U31" s="25" t="str">
        <f t="shared" si="12"/>
        <v/>
      </c>
      <c r="V31" s="25" t="str">
        <f t="shared" si="13"/>
        <v/>
      </c>
      <c r="W31" s="28" t="str">
        <f t="shared" si="14"/>
        <v>Sin horas Fixed</v>
      </c>
      <c r="X31" s="15" t="str">
        <f t="shared" si="15"/>
        <v>Sin horas RET</v>
      </c>
      <c r="Y31" s="15" t="str">
        <f t="shared" si="16"/>
        <v>Revisar ambas líneas</v>
      </c>
      <c r="Z31" s="15" t="s">
        <v>19</v>
      </c>
    </row>
    <row r="32" spans="1:26" x14ac:dyDescent="0.35">
      <c r="A32" s="26" t="s">
        <v>29</v>
      </c>
      <c r="B32" s="15" t="s">
        <v>31</v>
      </c>
      <c r="C32" s="15" t="s">
        <v>5</v>
      </c>
      <c r="D32" s="25">
        <v>1</v>
      </c>
      <c r="E32" s="25">
        <v>0</v>
      </c>
      <c r="F32" s="25">
        <f t="shared" si="0"/>
        <v>0</v>
      </c>
      <c r="G32" s="18">
        <v>176</v>
      </c>
      <c r="H32" s="18">
        <f t="shared" si="1"/>
        <v>176</v>
      </c>
      <c r="I32" s="18">
        <v>171.5</v>
      </c>
      <c r="J32" s="18">
        <f t="shared" si="2"/>
        <v>-4.5</v>
      </c>
      <c r="K32" s="25">
        <f t="shared" si="3"/>
        <v>0.97443181818181823</v>
      </c>
      <c r="L32" s="18">
        <f t="shared" si="4"/>
        <v>0</v>
      </c>
      <c r="M32" s="18">
        <v>0</v>
      </c>
      <c r="N32" s="18">
        <f t="shared" si="5"/>
        <v>0</v>
      </c>
      <c r="O32" s="25" t="str">
        <f t="shared" si="6"/>
        <v/>
      </c>
      <c r="P32" s="18">
        <f t="shared" si="7"/>
        <v>176</v>
      </c>
      <c r="Q32" s="18">
        <f t="shared" si="8"/>
        <v>171.5</v>
      </c>
      <c r="R32" s="18">
        <f t="shared" si="9"/>
        <v>-4.5</v>
      </c>
      <c r="S32" s="25">
        <f t="shared" si="10"/>
        <v>1</v>
      </c>
      <c r="T32" s="25">
        <f t="shared" si="11"/>
        <v>0</v>
      </c>
      <c r="U32" s="25">
        <f t="shared" si="12"/>
        <v>0</v>
      </c>
      <c r="V32" s="25">
        <f t="shared" si="13"/>
        <v>0</v>
      </c>
      <c r="W32" s="29" t="str">
        <f t="shared" si="14"/>
        <v>En rango Fixed</v>
      </c>
      <c r="X32" s="15" t="str">
        <f t="shared" si="15"/>
        <v>No aplica RET</v>
      </c>
      <c r="Y32" s="15" t="str">
        <f t="shared" si="16"/>
        <v>En rango ambas líneas</v>
      </c>
      <c r="Z32" s="15" t="s">
        <v>19</v>
      </c>
    </row>
    <row r="33" spans="1:26" x14ac:dyDescent="0.35">
      <c r="A33" s="15" t="s">
        <v>29</v>
      </c>
      <c r="B33" s="15" t="s">
        <v>31</v>
      </c>
      <c r="C33" s="15" t="s">
        <v>6</v>
      </c>
      <c r="D33" s="25">
        <v>0.8</v>
      </c>
      <c r="E33" s="25">
        <v>0.2</v>
      </c>
      <c r="F33" s="25">
        <f t="shared" si="0"/>
        <v>0</v>
      </c>
      <c r="G33" s="18">
        <v>160</v>
      </c>
      <c r="H33" s="18">
        <f t="shared" si="1"/>
        <v>128</v>
      </c>
      <c r="I33" s="18">
        <v>109.2</v>
      </c>
      <c r="J33" s="18">
        <f t="shared" si="2"/>
        <v>-18.799999999999997</v>
      </c>
      <c r="K33" s="25">
        <f t="shared" si="3"/>
        <v>0.85312500000000002</v>
      </c>
      <c r="L33" s="18">
        <f t="shared" si="4"/>
        <v>32</v>
      </c>
      <c r="M33" s="18">
        <v>16.799999999999997</v>
      </c>
      <c r="N33" s="18">
        <f t="shared" si="5"/>
        <v>-15.200000000000003</v>
      </c>
      <c r="O33" s="25">
        <f t="shared" si="6"/>
        <v>0.52499999999999991</v>
      </c>
      <c r="P33" s="18">
        <f t="shared" si="7"/>
        <v>160</v>
      </c>
      <c r="Q33" s="18">
        <f t="shared" si="8"/>
        <v>126</v>
      </c>
      <c r="R33" s="18">
        <f t="shared" si="9"/>
        <v>-34</v>
      </c>
      <c r="S33" s="25">
        <f t="shared" si="10"/>
        <v>0.8666666666666667</v>
      </c>
      <c r="T33" s="25">
        <f t="shared" si="11"/>
        <v>0.1333333333333333</v>
      </c>
      <c r="U33" s="25">
        <f t="shared" si="12"/>
        <v>6.6666666666666652E-2</v>
      </c>
      <c r="V33" s="25">
        <f t="shared" si="13"/>
        <v>-6.6666666666666707E-2</v>
      </c>
      <c r="W33" s="28" t="str">
        <f t="shared" si="14"/>
        <v>Desviación Fixed</v>
      </c>
      <c r="X33" s="15" t="str">
        <f t="shared" si="15"/>
        <v>Desviación RET</v>
      </c>
      <c r="Y33" s="15" t="str">
        <f t="shared" si="16"/>
        <v>Revisar ambas líneas</v>
      </c>
      <c r="Z33" s="15" t="s">
        <v>19</v>
      </c>
    </row>
    <row r="34" spans="1:26" x14ac:dyDescent="0.35">
      <c r="A34" s="26" t="s">
        <v>29</v>
      </c>
      <c r="B34" s="15" t="s">
        <v>31</v>
      </c>
      <c r="C34" s="15" t="s">
        <v>7</v>
      </c>
      <c r="D34" s="25">
        <v>0.1</v>
      </c>
      <c r="E34" s="25">
        <v>0.5</v>
      </c>
      <c r="F34" s="25">
        <f t="shared" si="0"/>
        <v>0.4</v>
      </c>
      <c r="G34" s="18">
        <v>33.5</v>
      </c>
      <c r="H34" s="18">
        <f t="shared" si="1"/>
        <v>3.35</v>
      </c>
      <c r="I34" s="18">
        <v>0</v>
      </c>
      <c r="J34" s="18">
        <f t="shared" si="2"/>
        <v>-3.35</v>
      </c>
      <c r="K34" s="25">
        <f t="shared" si="3"/>
        <v>0</v>
      </c>
      <c r="L34" s="18">
        <f t="shared" si="4"/>
        <v>16.75</v>
      </c>
      <c r="M34" s="18">
        <v>0</v>
      </c>
      <c r="N34" s="18">
        <f t="shared" si="5"/>
        <v>-16.75</v>
      </c>
      <c r="O34" s="25">
        <f t="shared" si="6"/>
        <v>0</v>
      </c>
      <c r="P34" s="18">
        <f t="shared" si="7"/>
        <v>20.100000000000001</v>
      </c>
      <c r="Q34" s="18">
        <f t="shared" si="8"/>
        <v>0</v>
      </c>
      <c r="R34" s="18">
        <f t="shared" si="9"/>
        <v>-20.100000000000001</v>
      </c>
      <c r="S34" s="25" t="str">
        <f t="shared" si="10"/>
        <v/>
      </c>
      <c r="T34" s="25" t="str">
        <f t="shared" si="11"/>
        <v/>
      </c>
      <c r="U34" s="25" t="str">
        <f t="shared" si="12"/>
        <v/>
      </c>
      <c r="V34" s="25" t="str">
        <f t="shared" si="13"/>
        <v/>
      </c>
      <c r="W34" s="28" t="str">
        <f t="shared" si="14"/>
        <v>Sin horas Fixed</v>
      </c>
      <c r="X34" s="15" t="str">
        <f t="shared" si="15"/>
        <v>Sin horas RET</v>
      </c>
      <c r="Y34" s="15" t="str">
        <f t="shared" si="16"/>
        <v>Revisar ambas líneas</v>
      </c>
      <c r="Z34" s="15" t="s">
        <v>19</v>
      </c>
    </row>
    <row r="35" spans="1:26" x14ac:dyDescent="0.35">
      <c r="A35" s="15" t="s">
        <v>29</v>
      </c>
      <c r="B35" s="15" t="s">
        <v>32</v>
      </c>
      <c r="C35" s="15" t="s">
        <v>5</v>
      </c>
      <c r="D35" s="25">
        <v>1</v>
      </c>
      <c r="E35" s="25">
        <v>0</v>
      </c>
      <c r="F35" s="25">
        <f t="shared" si="0"/>
        <v>0</v>
      </c>
      <c r="G35" s="18">
        <v>176</v>
      </c>
      <c r="H35" s="18">
        <f t="shared" si="1"/>
        <v>176</v>
      </c>
      <c r="I35" s="18">
        <v>106</v>
      </c>
      <c r="J35" s="18">
        <f t="shared" si="2"/>
        <v>-70</v>
      </c>
      <c r="K35" s="25">
        <f t="shared" si="3"/>
        <v>0.60227272727272729</v>
      </c>
      <c r="L35" s="18">
        <f t="shared" si="4"/>
        <v>0</v>
      </c>
      <c r="M35" s="18">
        <v>0</v>
      </c>
      <c r="N35" s="18">
        <f t="shared" si="5"/>
        <v>0</v>
      </c>
      <c r="O35" s="25" t="str">
        <f t="shared" si="6"/>
        <v/>
      </c>
      <c r="P35" s="18">
        <f t="shared" si="7"/>
        <v>176</v>
      </c>
      <c r="Q35" s="18">
        <f t="shared" si="8"/>
        <v>106</v>
      </c>
      <c r="R35" s="18">
        <f t="shared" si="9"/>
        <v>-70</v>
      </c>
      <c r="S35" s="25">
        <f t="shared" si="10"/>
        <v>1</v>
      </c>
      <c r="T35" s="25">
        <f t="shared" si="11"/>
        <v>0</v>
      </c>
      <c r="U35" s="25">
        <f t="shared" si="12"/>
        <v>0</v>
      </c>
      <c r="V35" s="25">
        <f t="shared" si="13"/>
        <v>0</v>
      </c>
      <c r="W35" s="28" t="str">
        <f t="shared" si="14"/>
        <v>Desviación Fixed</v>
      </c>
      <c r="X35" s="15" t="str">
        <f t="shared" si="15"/>
        <v>No aplica RET</v>
      </c>
      <c r="Y35" s="15" t="str">
        <f t="shared" si="16"/>
        <v>Revisar ambas líneas</v>
      </c>
      <c r="Z35" s="15" t="s">
        <v>19</v>
      </c>
    </row>
    <row r="36" spans="1:26" x14ac:dyDescent="0.35">
      <c r="A36" s="26" t="s">
        <v>29</v>
      </c>
      <c r="B36" s="15" t="s">
        <v>32</v>
      </c>
      <c r="C36" s="15" t="s">
        <v>6</v>
      </c>
      <c r="D36" s="25">
        <v>0.5</v>
      </c>
      <c r="E36" s="25">
        <v>0.5</v>
      </c>
      <c r="F36" s="25">
        <f t="shared" si="0"/>
        <v>0</v>
      </c>
      <c r="G36" s="18">
        <v>160</v>
      </c>
      <c r="H36" s="18">
        <f t="shared" si="1"/>
        <v>80</v>
      </c>
      <c r="I36" s="18">
        <v>99.5</v>
      </c>
      <c r="J36" s="18">
        <f t="shared" si="2"/>
        <v>19.5</v>
      </c>
      <c r="K36" s="25">
        <f t="shared" si="3"/>
        <v>1.2437499999999999</v>
      </c>
      <c r="L36" s="18">
        <f t="shared" si="4"/>
        <v>80</v>
      </c>
      <c r="M36" s="18">
        <v>61.5</v>
      </c>
      <c r="N36" s="18">
        <f t="shared" si="5"/>
        <v>-18.5</v>
      </c>
      <c r="O36" s="25">
        <f t="shared" si="6"/>
        <v>0.76875000000000004</v>
      </c>
      <c r="P36" s="18">
        <f t="shared" si="7"/>
        <v>160</v>
      </c>
      <c r="Q36" s="18">
        <f t="shared" si="8"/>
        <v>161</v>
      </c>
      <c r="R36" s="18">
        <f t="shared" si="9"/>
        <v>1</v>
      </c>
      <c r="S36" s="25">
        <f t="shared" si="10"/>
        <v>0.61801242236024845</v>
      </c>
      <c r="T36" s="25">
        <f t="shared" si="11"/>
        <v>0.38198757763975155</v>
      </c>
      <c r="U36" s="25">
        <f t="shared" si="12"/>
        <v>0.11801242236024845</v>
      </c>
      <c r="V36" s="25">
        <f t="shared" si="13"/>
        <v>-0.11801242236024845</v>
      </c>
      <c r="W36" s="28" t="str">
        <f t="shared" si="14"/>
        <v>Desviación Fixed</v>
      </c>
      <c r="X36" s="15" t="str">
        <f t="shared" si="15"/>
        <v>Desviación RET</v>
      </c>
      <c r="Y36" s="15" t="str">
        <f t="shared" si="16"/>
        <v>Revisar ambas líneas</v>
      </c>
      <c r="Z36" s="15" t="s">
        <v>19</v>
      </c>
    </row>
    <row r="37" spans="1:26" x14ac:dyDescent="0.35">
      <c r="A37" s="15" t="s">
        <v>29</v>
      </c>
      <c r="B37" s="15" t="s">
        <v>32</v>
      </c>
      <c r="C37" s="15" t="s">
        <v>7</v>
      </c>
      <c r="D37" s="25">
        <v>0.1</v>
      </c>
      <c r="E37" s="25">
        <v>0.5</v>
      </c>
      <c r="F37" s="25">
        <f t="shared" ref="F37:F68" si="17">MAX(0,1-D37-E37)</f>
        <v>0.4</v>
      </c>
      <c r="G37" s="18">
        <v>33.5</v>
      </c>
      <c r="H37" s="18">
        <f t="shared" ref="H37:H68" si="18">D37*G37</f>
        <v>3.35</v>
      </c>
      <c r="I37" s="18">
        <v>0</v>
      </c>
      <c r="J37" s="18">
        <f t="shared" ref="J37:J68" si="19">I37-H37</f>
        <v>-3.35</v>
      </c>
      <c r="K37" s="25">
        <f t="shared" ref="K37:K68" si="20">IF(H37=0,"",I37/H37)</f>
        <v>0</v>
      </c>
      <c r="L37" s="18">
        <f t="shared" ref="L37:L68" si="21">E37*G37</f>
        <v>16.75</v>
      </c>
      <c r="M37" s="18">
        <v>0</v>
      </c>
      <c r="N37" s="18">
        <f t="shared" ref="N37:N68" si="22">M37-L37</f>
        <v>-16.75</v>
      </c>
      <c r="O37" s="25">
        <f t="shared" ref="O37:O68" si="23">IF(L37=0,"",M37/L37)</f>
        <v>0</v>
      </c>
      <c r="P37" s="18">
        <f t="shared" ref="P37:P68" si="24">H37+L37</f>
        <v>20.100000000000001</v>
      </c>
      <c r="Q37" s="18">
        <f t="shared" ref="Q37:Q68" si="25">I37+M37</f>
        <v>0</v>
      </c>
      <c r="R37" s="18">
        <f t="shared" ref="R37:R68" si="26">Q37-P37</f>
        <v>-20.100000000000001</v>
      </c>
      <c r="S37" s="25" t="str">
        <f t="shared" ref="S37:S68" si="27">IF(Q37=0,"",I37/Q37)</f>
        <v/>
      </c>
      <c r="T37" s="25" t="str">
        <f t="shared" ref="T37:T68" si="28">IF(Q37=0,"",M37/Q37)</f>
        <v/>
      </c>
      <c r="U37" s="25" t="str">
        <f t="shared" ref="U37:U68" si="29">IF(S37="","",S37-D37)</f>
        <v/>
      </c>
      <c r="V37" s="25" t="str">
        <f t="shared" ref="V37:V68" si="30">IF(T37="","",T37-E37)</f>
        <v/>
      </c>
      <c r="W37" s="28" t="str">
        <f t="shared" ref="W37:W68" si="31">IF(Z37="Sí","Excluido",IF(AND(D37=0,I37=0),"No aplica Fixed",IF(AND(D37=0,I37&gt;0),"Carga no planeada Fixed",IF(AND(D37&gt;0,I37=0),"Sin horas Fixed",IF(ABS(J37)&gt;MAX(8,H37*10%),"Desviación Fixed","En rango Fixed")))))</f>
        <v>Sin horas Fixed</v>
      </c>
      <c r="X37" s="15" t="str">
        <f t="shared" ref="X37:X68" si="32">IF(Z37="Sí","Excluido",IF(AND(E37=0,M37=0),"No aplica RET",IF(AND(E37=0,M37&gt;0),"Carga no planeada RET",IF(AND(E37&gt;0,M37=0),"Sin horas RET",IF(ABS(N37)&gt;MAX(8,L37*10%),"Desviación RET","En rango RET")))))</f>
        <v>Sin horas RET</v>
      </c>
      <c r="Y37" s="15" t="str">
        <f t="shared" ref="Y37:Y68" si="33">IF(Z37="Sí","Excluido - auditoría/contratista",IF(OR(ISNUMBER(SEARCH("Carga",W37)),ISNUMBER(SEARCH("Sin horas",W37)),ISNUMBER(SEARCH("Desviación",W37)),ISNUMBER(SEARCH("Carga",X37)),ISNUMBER(SEARCH("Sin horas",X37)),ISNUMBER(SEARCH("Desviación",X37))),"Revisar ambas líneas",IF(ABS(R37)&gt;MAX(8,P37*10%),"Desviación total",IF(F37&gt;0,"En rango - plan parcial","En rango ambas líneas"))))</f>
        <v>Revisar ambas líneas</v>
      </c>
      <c r="Z37" s="15" t="s">
        <v>19</v>
      </c>
    </row>
    <row r="38" spans="1:26" x14ac:dyDescent="0.35">
      <c r="A38" s="26" t="s">
        <v>29</v>
      </c>
      <c r="B38" s="15" t="s">
        <v>33</v>
      </c>
      <c r="C38" s="15" t="s">
        <v>5</v>
      </c>
      <c r="D38" s="25">
        <v>1</v>
      </c>
      <c r="E38" s="25">
        <v>0</v>
      </c>
      <c r="F38" s="25">
        <f t="shared" si="17"/>
        <v>0</v>
      </c>
      <c r="G38" s="18">
        <v>176</v>
      </c>
      <c r="H38" s="18">
        <f t="shared" si="18"/>
        <v>176</v>
      </c>
      <c r="I38" s="18">
        <v>179.5</v>
      </c>
      <c r="J38" s="18">
        <f t="shared" si="19"/>
        <v>3.5</v>
      </c>
      <c r="K38" s="25">
        <f t="shared" si="20"/>
        <v>1.0198863636363635</v>
      </c>
      <c r="L38" s="18">
        <f t="shared" si="21"/>
        <v>0</v>
      </c>
      <c r="M38" s="18">
        <v>0</v>
      </c>
      <c r="N38" s="18">
        <f t="shared" si="22"/>
        <v>0</v>
      </c>
      <c r="O38" s="25" t="str">
        <f t="shared" si="23"/>
        <v/>
      </c>
      <c r="P38" s="18">
        <f t="shared" si="24"/>
        <v>176</v>
      </c>
      <c r="Q38" s="18">
        <f t="shared" si="25"/>
        <v>179.5</v>
      </c>
      <c r="R38" s="18">
        <f t="shared" si="26"/>
        <v>3.5</v>
      </c>
      <c r="S38" s="25">
        <f t="shared" si="27"/>
        <v>1</v>
      </c>
      <c r="T38" s="25">
        <f t="shared" si="28"/>
        <v>0</v>
      </c>
      <c r="U38" s="25">
        <f t="shared" si="29"/>
        <v>0</v>
      </c>
      <c r="V38" s="25">
        <f t="shared" si="30"/>
        <v>0</v>
      </c>
      <c r="W38" s="29" t="str">
        <f t="shared" si="31"/>
        <v>En rango Fixed</v>
      </c>
      <c r="X38" s="15" t="str">
        <f t="shared" si="32"/>
        <v>No aplica RET</v>
      </c>
      <c r="Y38" s="15" t="str">
        <f t="shared" si="33"/>
        <v>En rango ambas líneas</v>
      </c>
      <c r="Z38" s="15" t="s">
        <v>19</v>
      </c>
    </row>
    <row r="39" spans="1:26" x14ac:dyDescent="0.35">
      <c r="A39" s="15" t="s">
        <v>29</v>
      </c>
      <c r="B39" s="15" t="s">
        <v>33</v>
      </c>
      <c r="C39" s="15" t="s">
        <v>6</v>
      </c>
      <c r="D39" s="25">
        <v>1</v>
      </c>
      <c r="E39" s="25">
        <v>0</v>
      </c>
      <c r="F39" s="25">
        <f t="shared" si="17"/>
        <v>0</v>
      </c>
      <c r="G39" s="18">
        <v>160</v>
      </c>
      <c r="H39" s="18">
        <f t="shared" si="18"/>
        <v>160</v>
      </c>
      <c r="I39" s="18">
        <v>51</v>
      </c>
      <c r="J39" s="18">
        <f t="shared" si="19"/>
        <v>-109</v>
      </c>
      <c r="K39" s="25">
        <f t="shared" si="20"/>
        <v>0.31874999999999998</v>
      </c>
      <c r="L39" s="18">
        <f t="shared" si="21"/>
        <v>0</v>
      </c>
      <c r="M39" s="18">
        <v>8.5</v>
      </c>
      <c r="N39" s="18">
        <f t="shared" si="22"/>
        <v>8.5</v>
      </c>
      <c r="O39" s="25" t="str">
        <f t="shared" si="23"/>
        <v/>
      </c>
      <c r="P39" s="18">
        <f t="shared" si="24"/>
        <v>160</v>
      </c>
      <c r="Q39" s="18">
        <f t="shared" si="25"/>
        <v>59.5</v>
      </c>
      <c r="R39" s="18">
        <f t="shared" si="26"/>
        <v>-100.5</v>
      </c>
      <c r="S39" s="25">
        <f t="shared" si="27"/>
        <v>0.8571428571428571</v>
      </c>
      <c r="T39" s="25">
        <f t="shared" si="28"/>
        <v>0.14285714285714285</v>
      </c>
      <c r="U39" s="25">
        <f t="shared" si="29"/>
        <v>-0.1428571428571429</v>
      </c>
      <c r="V39" s="25">
        <f t="shared" si="30"/>
        <v>0.14285714285714285</v>
      </c>
      <c r="W39" s="28" t="str">
        <f t="shared" si="31"/>
        <v>Desviación Fixed</v>
      </c>
      <c r="X39" s="15" t="str">
        <f t="shared" si="32"/>
        <v>Carga no planeada RET</v>
      </c>
      <c r="Y39" s="15" t="str">
        <f t="shared" si="33"/>
        <v>Revisar ambas líneas</v>
      </c>
      <c r="Z39" s="15" t="s">
        <v>19</v>
      </c>
    </row>
    <row r="40" spans="1:26" x14ac:dyDescent="0.35">
      <c r="A40" s="26" t="s">
        <v>29</v>
      </c>
      <c r="B40" s="15" t="s">
        <v>33</v>
      </c>
      <c r="C40" s="15" t="s">
        <v>7</v>
      </c>
      <c r="D40" s="25">
        <v>0</v>
      </c>
      <c r="E40" s="25">
        <v>0</v>
      </c>
      <c r="F40" s="25">
        <f t="shared" si="17"/>
        <v>1</v>
      </c>
      <c r="G40" s="18">
        <v>33.5</v>
      </c>
      <c r="H40" s="18">
        <f t="shared" si="18"/>
        <v>0</v>
      </c>
      <c r="I40" s="18">
        <v>33.5</v>
      </c>
      <c r="J40" s="18">
        <f t="shared" si="19"/>
        <v>33.5</v>
      </c>
      <c r="K40" s="25" t="str">
        <f t="shared" si="20"/>
        <v/>
      </c>
      <c r="L40" s="18">
        <f t="shared" si="21"/>
        <v>0</v>
      </c>
      <c r="M40" s="18">
        <v>0</v>
      </c>
      <c r="N40" s="18">
        <f t="shared" si="22"/>
        <v>0</v>
      </c>
      <c r="O40" s="25" t="str">
        <f t="shared" si="23"/>
        <v/>
      </c>
      <c r="P40" s="18">
        <f t="shared" si="24"/>
        <v>0</v>
      </c>
      <c r="Q40" s="18">
        <f t="shared" si="25"/>
        <v>33.5</v>
      </c>
      <c r="R40" s="18">
        <f t="shared" si="26"/>
        <v>33.5</v>
      </c>
      <c r="S40" s="25">
        <f t="shared" si="27"/>
        <v>1</v>
      </c>
      <c r="T40" s="25">
        <f t="shared" si="28"/>
        <v>0</v>
      </c>
      <c r="U40" s="25">
        <f t="shared" si="29"/>
        <v>1</v>
      </c>
      <c r="V40" s="25">
        <f t="shared" si="30"/>
        <v>0</v>
      </c>
      <c r="W40" s="28" t="str">
        <f t="shared" si="31"/>
        <v>Carga no planeada Fixed</v>
      </c>
      <c r="X40" s="15" t="str">
        <f t="shared" si="32"/>
        <v>No aplica RET</v>
      </c>
      <c r="Y40" s="15" t="str">
        <f t="shared" si="33"/>
        <v>Revisar ambas líneas</v>
      </c>
      <c r="Z40" s="15" t="s">
        <v>19</v>
      </c>
    </row>
    <row r="41" spans="1:26" x14ac:dyDescent="0.35">
      <c r="A41" s="15" t="s">
        <v>29</v>
      </c>
      <c r="B41" s="15" t="s">
        <v>34</v>
      </c>
      <c r="C41" s="15" t="s">
        <v>5</v>
      </c>
      <c r="D41" s="25">
        <v>1</v>
      </c>
      <c r="E41" s="25">
        <v>0</v>
      </c>
      <c r="F41" s="25">
        <f t="shared" si="17"/>
        <v>0</v>
      </c>
      <c r="G41" s="18">
        <v>176</v>
      </c>
      <c r="H41" s="18">
        <f t="shared" si="18"/>
        <v>176</v>
      </c>
      <c r="I41" s="18">
        <v>109</v>
      </c>
      <c r="J41" s="18">
        <f t="shared" si="19"/>
        <v>-67</v>
      </c>
      <c r="K41" s="25">
        <f t="shared" si="20"/>
        <v>0.61931818181818177</v>
      </c>
      <c r="L41" s="18">
        <f t="shared" si="21"/>
        <v>0</v>
      </c>
      <c r="M41" s="18">
        <v>0</v>
      </c>
      <c r="N41" s="18">
        <f t="shared" si="22"/>
        <v>0</v>
      </c>
      <c r="O41" s="25" t="str">
        <f t="shared" si="23"/>
        <v/>
      </c>
      <c r="P41" s="18">
        <f t="shared" si="24"/>
        <v>176</v>
      </c>
      <c r="Q41" s="18">
        <f t="shared" si="25"/>
        <v>109</v>
      </c>
      <c r="R41" s="18">
        <f t="shared" si="26"/>
        <v>-67</v>
      </c>
      <c r="S41" s="25">
        <f t="shared" si="27"/>
        <v>1</v>
      </c>
      <c r="T41" s="25">
        <f t="shared" si="28"/>
        <v>0</v>
      </c>
      <c r="U41" s="25">
        <f t="shared" si="29"/>
        <v>0</v>
      </c>
      <c r="V41" s="25">
        <f t="shared" si="30"/>
        <v>0</v>
      </c>
      <c r="W41" s="28" t="str">
        <f t="shared" si="31"/>
        <v>Desviación Fixed</v>
      </c>
      <c r="X41" s="15" t="str">
        <f t="shared" si="32"/>
        <v>No aplica RET</v>
      </c>
      <c r="Y41" s="15" t="str">
        <f t="shared" si="33"/>
        <v>Revisar ambas líneas</v>
      </c>
      <c r="Z41" s="15" t="s">
        <v>19</v>
      </c>
    </row>
    <row r="42" spans="1:26" x14ac:dyDescent="0.35">
      <c r="A42" s="26" t="s">
        <v>29</v>
      </c>
      <c r="B42" s="15" t="s">
        <v>34</v>
      </c>
      <c r="C42" s="15" t="s">
        <v>6</v>
      </c>
      <c r="D42" s="25">
        <v>1</v>
      </c>
      <c r="E42" s="25">
        <v>0</v>
      </c>
      <c r="F42" s="25">
        <f t="shared" si="17"/>
        <v>0</v>
      </c>
      <c r="G42" s="18">
        <v>160</v>
      </c>
      <c r="H42" s="18">
        <f t="shared" si="18"/>
        <v>160</v>
      </c>
      <c r="I42" s="18">
        <v>109.5</v>
      </c>
      <c r="J42" s="18">
        <f t="shared" si="19"/>
        <v>-50.5</v>
      </c>
      <c r="K42" s="25">
        <f t="shared" si="20"/>
        <v>0.68437499999999996</v>
      </c>
      <c r="L42" s="18">
        <f t="shared" si="21"/>
        <v>0</v>
      </c>
      <c r="M42" s="18">
        <v>0</v>
      </c>
      <c r="N42" s="18">
        <f t="shared" si="22"/>
        <v>0</v>
      </c>
      <c r="O42" s="25" t="str">
        <f t="shared" si="23"/>
        <v/>
      </c>
      <c r="P42" s="18">
        <f t="shared" si="24"/>
        <v>160</v>
      </c>
      <c r="Q42" s="18">
        <f t="shared" si="25"/>
        <v>109.5</v>
      </c>
      <c r="R42" s="18">
        <f t="shared" si="26"/>
        <v>-50.5</v>
      </c>
      <c r="S42" s="25">
        <f t="shared" si="27"/>
        <v>1</v>
      </c>
      <c r="T42" s="25">
        <f t="shared" si="28"/>
        <v>0</v>
      </c>
      <c r="U42" s="25">
        <f t="shared" si="29"/>
        <v>0</v>
      </c>
      <c r="V42" s="25">
        <f t="shared" si="30"/>
        <v>0</v>
      </c>
      <c r="W42" s="28" t="str">
        <f t="shared" si="31"/>
        <v>Desviación Fixed</v>
      </c>
      <c r="X42" s="15" t="str">
        <f t="shared" si="32"/>
        <v>No aplica RET</v>
      </c>
      <c r="Y42" s="15" t="str">
        <f t="shared" si="33"/>
        <v>Revisar ambas líneas</v>
      </c>
      <c r="Z42" s="15" t="s">
        <v>19</v>
      </c>
    </row>
    <row r="43" spans="1:26" x14ac:dyDescent="0.35">
      <c r="A43" s="15" t="s">
        <v>29</v>
      </c>
      <c r="B43" s="15" t="s">
        <v>34</v>
      </c>
      <c r="C43" s="15" t="s">
        <v>7</v>
      </c>
      <c r="D43" s="25">
        <v>0</v>
      </c>
      <c r="E43" s="25">
        <v>0</v>
      </c>
      <c r="F43" s="25">
        <f t="shared" si="17"/>
        <v>1</v>
      </c>
      <c r="G43" s="18">
        <v>33.5</v>
      </c>
      <c r="H43" s="18">
        <f t="shared" si="18"/>
        <v>0</v>
      </c>
      <c r="I43" s="18">
        <v>0</v>
      </c>
      <c r="J43" s="18">
        <f t="shared" si="19"/>
        <v>0</v>
      </c>
      <c r="K43" s="25" t="str">
        <f t="shared" si="20"/>
        <v/>
      </c>
      <c r="L43" s="18">
        <f t="shared" si="21"/>
        <v>0</v>
      </c>
      <c r="M43" s="18">
        <v>0</v>
      </c>
      <c r="N43" s="18">
        <f t="shared" si="22"/>
        <v>0</v>
      </c>
      <c r="O43" s="25" t="str">
        <f t="shared" si="23"/>
        <v/>
      </c>
      <c r="P43" s="18">
        <f t="shared" si="24"/>
        <v>0</v>
      </c>
      <c r="Q43" s="18">
        <f t="shared" si="25"/>
        <v>0</v>
      </c>
      <c r="R43" s="18">
        <f t="shared" si="26"/>
        <v>0</v>
      </c>
      <c r="S43" s="25" t="str">
        <f t="shared" si="27"/>
        <v/>
      </c>
      <c r="T43" s="25" t="str">
        <f t="shared" si="28"/>
        <v/>
      </c>
      <c r="U43" s="25" t="str">
        <f t="shared" si="29"/>
        <v/>
      </c>
      <c r="V43" s="25" t="str">
        <f t="shared" si="30"/>
        <v/>
      </c>
      <c r="W43" s="29" t="str">
        <f t="shared" si="31"/>
        <v>No aplica Fixed</v>
      </c>
      <c r="X43" s="15" t="str">
        <f t="shared" si="32"/>
        <v>No aplica RET</v>
      </c>
      <c r="Y43" s="15" t="str">
        <f t="shared" si="33"/>
        <v>En rango - plan parcial</v>
      </c>
      <c r="Z43" s="15" t="s">
        <v>19</v>
      </c>
    </row>
    <row r="44" spans="1:26" x14ac:dyDescent="0.35">
      <c r="A44" s="26" t="s">
        <v>29</v>
      </c>
      <c r="B44" s="15" t="s">
        <v>35</v>
      </c>
      <c r="C44" s="15" t="s">
        <v>5</v>
      </c>
      <c r="D44" s="25">
        <v>1</v>
      </c>
      <c r="E44" s="25">
        <v>0</v>
      </c>
      <c r="F44" s="25">
        <f t="shared" si="17"/>
        <v>0</v>
      </c>
      <c r="G44" s="18">
        <v>176</v>
      </c>
      <c r="H44" s="18">
        <f t="shared" si="18"/>
        <v>176</v>
      </c>
      <c r="I44" s="18">
        <v>92</v>
      </c>
      <c r="J44" s="18">
        <f t="shared" si="19"/>
        <v>-84</v>
      </c>
      <c r="K44" s="25">
        <f t="shared" si="20"/>
        <v>0.52272727272727271</v>
      </c>
      <c r="L44" s="18">
        <f t="shared" si="21"/>
        <v>0</v>
      </c>
      <c r="M44" s="18">
        <v>0</v>
      </c>
      <c r="N44" s="18">
        <f t="shared" si="22"/>
        <v>0</v>
      </c>
      <c r="O44" s="25" t="str">
        <f t="shared" si="23"/>
        <v/>
      </c>
      <c r="P44" s="18">
        <f t="shared" si="24"/>
        <v>176</v>
      </c>
      <c r="Q44" s="18">
        <f t="shared" si="25"/>
        <v>92</v>
      </c>
      <c r="R44" s="18">
        <f t="shared" si="26"/>
        <v>-84</v>
      </c>
      <c r="S44" s="25">
        <f t="shared" si="27"/>
        <v>1</v>
      </c>
      <c r="T44" s="25">
        <f t="shared" si="28"/>
        <v>0</v>
      </c>
      <c r="U44" s="25">
        <f t="shared" si="29"/>
        <v>0</v>
      </c>
      <c r="V44" s="25">
        <f t="shared" si="30"/>
        <v>0</v>
      </c>
      <c r="W44" s="28" t="str">
        <f t="shared" si="31"/>
        <v>Desviación Fixed</v>
      </c>
      <c r="X44" s="15" t="str">
        <f t="shared" si="32"/>
        <v>No aplica RET</v>
      </c>
      <c r="Y44" s="15" t="str">
        <f t="shared" si="33"/>
        <v>Revisar ambas líneas</v>
      </c>
      <c r="Z44" s="15" t="s">
        <v>19</v>
      </c>
    </row>
    <row r="45" spans="1:26" x14ac:dyDescent="0.35">
      <c r="A45" s="15" t="s">
        <v>29</v>
      </c>
      <c r="B45" s="15" t="s">
        <v>35</v>
      </c>
      <c r="C45" s="15" t="s">
        <v>6</v>
      </c>
      <c r="D45" s="25">
        <v>1</v>
      </c>
      <c r="E45" s="25">
        <v>0</v>
      </c>
      <c r="F45" s="25">
        <f t="shared" si="17"/>
        <v>0</v>
      </c>
      <c r="G45" s="18">
        <v>160</v>
      </c>
      <c r="H45" s="18">
        <f t="shared" si="18"/>
        <v>160</v>
      </c>
      <c r="I45" s="18">
        <v>17</v>
      </c>
      <c r="J45" s="18">
        <f t="shared" si="19"/>
        <v>-143</v>
      </c>
      <c r="K45" s="25">
        <f t="shared" si="20"/>
        <v>0.10625</v>
      </c>
      <c r="L45" s="18">
        <f t="shared" si="21"/>
        <v>0</v>
      </c>
      <c r="M45" s="18">
        <v>0</v>
      </c>
      <c r="N45" s="18">
        <f t="shared" si="22"/>
        <v>0</v>
      </c>
      <c r="O45" s="25" t="str">
        <f t="shared" si="23"/>
        <v/>
      </c>
      <c r="P45" s="18">
        <f t="shared" si="24"/>
        <v>160</v>
      </c>
      <c r="Q45" s="18">
        <f t="shared" si="25"/>
        <v>17</v>
      </c>
      <c r="R45" s="18">
        <f t="shared" si="26"/>
        <v>-143</v>
      </c>
      <c r="S45" s="25">
        <f t="shared" si="27"/>
        <v>1</v>
      </c>
      <c r="T45" s="25">
        <f t="shared" si="28"/>
        <v>0</v>
      </c>
      <c r="U45" s="25">
        <f t="shared" si="29"/>
        <v>0</v>
      </c>
      <c r="V45" s="25">
        <f t="shared" si="30"/>
        <v>0</v>
      </c>
      <c r="W45" s="28" t="str">
        <f t="shared" si="31"/>
        <v>Desviación Fixed</v>
      </c>
      <c r="X45" s="15" t="str">
        <f t="shared" si="32"/>
        <v>No aplica RET</v>
      </c>
      <c r="Y45" s="15" t="str">
        <f t="shared" si="33"/>
        <v>Revisar ambas líneas</v>
      </c>
      <c r="Z45" s="15" t="s">
        <v>19</v>
      </c>
    </row>
    <row r="46" spans="1:26" x14ac:dyDescent="0.35">
      <c r="A46" s="26" t="s">
        <v>29</v>
      </c>
      <c r="B46" s="15" t="s">
        <v>35</v>
      </c>
      <c r="C46" s="15" t="s">
        <v>7</v>
      </c>
      <c r="D46" s="25">
        <v>0</v>
      </c>
      <c r="E46" s="25">
        <v>0</v>
      </c>
      <c r="F46" s="25">
        <f t="shared" si="17"/>
        <v>1</v>
      </c>
      <c r="G46" s="18">
        <v>33.5</v>
      </c>
      <c r="H46" s="18">
        <f t="shared" si="18"/>
        <v>0</v>
      </c>
      <c r="I46" s="18">
        <v>0</v>
      </c>
      <c r="J46" s="18">
        <f t="shared" si="19"/>
        <v>0</v>
      </c>
      <c r="K46" s="25" t="str">
        <f t="shared" si="20"/>
        <v/>
      </c>
      <c r="L46" s="18">
        <f t="shared" si="21"/>
        <v>0</v>
      </c>
      <c r="M46" s="18">
        <v>0</v>
      </c>
      <c r="N46" s="18">
        <f t="shared" si="22"/>
        <v>0</v>
      </c>
      <c r="O46" s="25" t="str">
        <f t="shared" si="23"/>
        <v/>
      </c>
      <c r="P46" s="18">
        <f t="shared" si="24"/>
        <v>0</v>
      </c>
      <c r="Q46" s="18">
        <f t="shared" si="25"/>
        <v>0</v>
      </c>
      <c r="R46" s="18">
        <f t="shared" si="26"/>
        <v>0</v>
      </c>
      <c r="S46" s="25" t="str">
        <f t="shared" si="27"/>
        <v/>
      </c>
      <c r="T46" s="25" t="str">
        <f t="shared" si="28"/>
        <v/>
      </c>
      <c r="U46" s="25" t="str">
        <f t="shared" si="29"/>
        <v/>
      </c>
      <c r="V46" s="25" t="str">
        <f t="shared" si="30"/>
        <v/>
      </c>
      <c r="W46" s="29" t="str">
        <f t="shared" si="31"/>
        <v>No aplica Fixed</v>
      </c>
      <c r="X46" s="15" t="str">
        <f t="shared" si="32"/>
        <v>No aplica RET</v>
      </c>
      <c r="Y46" s="15" t="str">
        <f t="shared" si="33"/>
        <v>En rango - plan parcial</v>
      </c>
      <c r="Z46" s="15" t="s">
        <v>19</v>
      </c>
    </row>
    <row r="47" spans="1:26" x14ac:dyDescent="0.35">
      <c r="A47" s="15" t="s">
        <v>36</v>
      </c>
      <c r="B47" s="15" t="s">
        <v>37</v>
      </c>
      <c r="C47" s="15" t="s">
        <v>5</v>
      </c>
      <c r="D47" s="25">
        <v>1</v>
      </c>
      <c r="E47" s="25">
        <v>0</v>
      </c>
      <c r="F47" s="25">
        <f t="shared" si="17"/>
        <v>0</v>
      </c>
      <c r="G47" s="18">
        <v>176</v>
      </c>
      <c r="H47" s="18">
        <f t="shared" si="18"/>
        <v>176</v>
      </c>
      <c r="I47" s="18">
        <v>199</v>
      </c>
      <c r="J47" s="18">
        <f t="shared" si="19"/>
        <v>23</v>
      </c>
      <c r="K47" s="25">
        <f t="shared" si="20"/>
        <v>1.1306818181818181</v>
      </c>
      <c r="L47" s="18">
        <f t="shared" si="21"/>
        <v>0</v>
      </c>
      <c r="M47" s="18">
        <v>0</v>
      </c>
      <c r="N47" s="18">
        <f t="shared" si="22"/>
        <v>0</v>
      </c>
      <c r="O47" s="25" t="str">
        <f t="shared" si="23"/>
        <v/>
      </c>
      <c r="P47" s="18">
        <f t="shared" si="24"/>
        <v>176</v>
      </c>
      <c r="Q47" s="18">
        <f t="shared" si="25"/>
        <v>199</v>
      </c>
      <c r="R47" s="18">
        <f t="shared" si="26"/>
        <v>23</v>
      </c>
      <c r="S47" s="25">
        <f t="shared" si="27"/>
        <v>1</v>
      </c>
      <c r="T47" s="25">
        <f t="shared" si="28"/>
        <v>0</v>
      </c>
      <c r="U47" s="25">
        <f t="shared" si="29"/>
        <v>0</v>
      </c>
      <c r="V47" s="25">
        <f t="shared" si="30"/>
        <v>0</v>
      </c>
      <c r="W47" s="28" t="str">
        <f t="shared" si="31"/>
        <v>Desviación Fixed</v>
      </c>
      <c r="X47" s="15" t="str">
        <f t="shared" si="32"/>
        <v>No aplica RET</v>
      </c>
      <c r="Y47" s="15" t="str">
        <f t="shared" si="33"/>
        <v>Revisar ambas líneas</v>
      </c>
      <c r="Z47" s="15" t="s">
        <v>19</v>
      </c>
    </row>
    <row r="48" spans="1:26" x14ac:dyDescent="0.35">
      <c r="A48" s="26" t="s">
        <v>36</v>
      </c>
      <c r="B48" s="15" t="s">
        <v>37</v>
      </c>
      <c r="C48" s="15" t="s">
        <v>6</v>
      </c>
      <c r="D48" s="25">
        <v>0.9</v>
      </c>
      <c r="E48" s="25">
        <v>0.1</v>
      </c>
      <c r="F48" s="25">
        <f t="shared" si="17"/>
        <v>0</v>
      </c>
      <c r="G48" s="18">
        <v>160</v>
      </c>
      <c r="H48" s="18">
        <f t="shared" si="18"/>
        <v>144</v>
      </c>
      <c r="I48" s="18">
        <v>59.5</v>
      </c>
      <c r="J48" s="18">
        <f t="shared" si="19"/>
        <v>-84.5</v>
      </c>
      <c r="K48" s="25">
        <f t="shared" si="20"/>
        <v>0.41319444444444442</v>
      </c>
      <c r="L48" s="18">
        <f t="shared" si="21"/>
        <v>16</v>
      </c>
      <c r="M48" s="18">
        <v>0</v>
      </c>
      <c r="N48" s="18">
        <f t="shared" si="22"/>
        <v>-16</v>
      </c>
      <c r="O48" s="25">
        <f t="shared" si="23"/>
        <v>0</v>
      </c>
      <c r="P48" s="18">
        <f t="shared" si="24"/>
        <v>160</v>
      </c>
      <c r="Q48" s="18">
        <f t="shared" si="25"/>
        <v>59.5</v>
      </c>
      <c r="R48" s="18">
        <f t="shared" si="26"/>
        <v>-100.5</v>
      </c>
      <c r="S48" s="25">
        <f t="shared" si="27"/>
        <v>1</v>
      </c>
      <c r="T48" s="25">
        <f t="shared" si="28"/>
        <v>0</v>
      </c>
      <c r="U48" s="25">
        <f t="shared" si="29"/>
        <v>9.9999999999999978E-2</v>
      </c>
      <c r="V48" s="25">
        <f t="shared" si="30"/>
        <v>-0.1</v>
      </c>
      <c r="W48" s="28" t="str">
        <f t="shared" si="31"/>
        <v>Desviación Fixed</v>
      </c>
      <c r="X48" s="15" t="str">
        <f t="shared" si="32"/>
        <v>Sin horas RET</v>
      </c>
      <c r="Y48" s="15" t="str">
        <f t="shared" si="33"/>
        <v>Revisar ambas líneas</v>
      </c>
      <c r="Z48" s="15" t="s">
        <v>19</v>
      </c>
    </row>
    <row r="49" spans="1:26" x14ac:dyDescent="0.35">
      <c r="A49" s="15" t="s">
        <v>36</v>
      </c>
      <c r="B49" s="15" t="s">
        <v>37</v>
      </c>
      <c r="C49" s="15" t="s">
        <v>7</v>
      </c>
      <c r="D49" s="25">
        <v>0.9</v>
      </c>
      <c r="E49" s="25">
        <v>0.1</v>
      </c>
      <c r="F49" s="25">
        <f t="shared" si="17"/>
        <v>0</v>
      </c>
      <c r="G49" s="18">
        <v>33.5</v>
      </c>
      <c r="H49" s="18">
        <f t="shared" si="18"/>
        <v>30.150000000000002</v>
      </c>
      <c r="I49" s="18">
        <v>0</v>
      </c>
      <c r="J49" s="18">
        <f t="shared" si="19"/>
        <v>-30.150000000000002</v>
      </c>
      <c r="K49" s="25">
        <f t="shared" si="20"/>
        <v>0</v>
      </c>
      <c r="L49" s="18">
        <f t="shared" si="21"/>
        <v>3.35</v>
      </c>
      <c r="M49" s="18">
        <v>0</v>
      </c>
      <c r="N49" s="18">
        <f t="shared" si="22"/>
        <v>-3.35</v>
      </c>
      <c r="O49" s="25">
        <f t="shared" si="23"/>
        <v>0</v>
      </c>
      <c r="P49" s="18">
        <f t="shared" si="24"/>
        <v>33.5</v>
      </c>
      <c r="Q49" s="18">
        <f t="shared" si="25"/>
        <v>0</v>
      </c>
      <c r="R49" s="18">
        <f t="shared" si="26"/>
        <v>-33.5</v>
      </c>
      <c r="S49" s="25" t="str">
        <f t="shared" si="27"/>
        <v/>
      </c>
      <c r="T49" s="25" t="str">
        <f t="shared" si="28"/>
        <v/>
      </c>
      <c r="U49" s="25" t="str">
        <f t="shared" si="29"/>
        <v/>
      </c>
      <c r="V49" s="25" t="str">
        <f t="shared" si="30"/>
        <v/>
      </c>
      <c r="W49" s="28" t="str">
        <f t="shared" si="31"/>
        <v>Sin horas Fixed</v>
      </c>
      <c r="X49" s="15" t="str">
        <f t="shared" si="32"/>
        <v>Sin horas RET</v>
      </c>
      <c r="Y49" s="15" t="str">
        <f t="shared" si="33"/>
        <v>Revisar ambas líneas</v>
      </c>
      <c r="Z49" s="15" t="s">
        <v>19</v>
      </c>
    </row>
    <row r="50" spans="1:26" x14ac:dyDescent="0.35">
      <c r="A50" s="26" t="s">
        <v>36</v>
      </c>
      <c r="B50" s="15" t="s">
        <v>38</v>
      </c>
      <c r="C50" s="15" t="s">
        <v>5</v>
      </c>
      <c r="D50" s="25">
        <v>1</v>
      </c>
      <c r="E50" s="25">
        <v>0</v>
      </c>
      <c r="F50" s="25">
        <f t="shared" si="17"/>
        <v>0</v>
      </c>
      <c r="G50" s="18">
        <v>176</v>
      </c>
      <c r="H50" s="18">
        <f t="shared" si="18"/>
        <v>176</v>
      </c>
      <c r="I50" s="18">
        <v>87</v>
      </c>
      <c r="J50" s="18">
        <f t="shared" si="19"/>
        <v>-89</v>
      </c>
      <c r="K50" s="25">
        <f t="shared" si="20"/>
        <v>0.49431818181818182</v>
      </c>
      <c r="L50" s="18">
        <f t="shared" si="21"/>
        <v>0</v>
      </c>
      <c r="M50" s="18">
        <v>0</v>
      </c>
      <c r="N50" s="18">
        <f t="shared" si="22"/>
        <v>0</v>
      </c>
      <c r="O50" s="25" t="str">
        <f t="shared" si="23"/>
        <v/>
      </c>
      <c r="P50" s="18">
        <f t="shared" si="24"/>
        <v>176</v>
      </c>
      <c r="Q50" s="18">
        <f t="shared" si="25"/>
        <v>87</v>
      </c>
      <c r="R50" s="18">
        <f t="shared" si="26"/>
        <v>-89</v>
      </c>
      <c r="S50" s="25">
        <f t="shared" si="27"/>
        <v>1</v>
      </c>
      <c r="T50" s="25">
        <f t="shared" si="28"/>
        <v>0</v>
      </c>
      <c r="U50" s="25">
        <f t="shared" si="29"/>
        <v>0</v>
      </c>
      <c r="V50" s="25">
        <f t="shared" si="30"/>
        <v>0</v>
      </c>
      <c r="W50" s="28" t="str">
        <f t="shared" si="31"/>
        <v>Desviación Fixed</v>
      </c>
      <c r="X50" s="15" t="str">
        <f t="shared" si="32"/>
        <v>No aplica RET</v>
      </c>
      <c r="Y50" s="15" t="str">
        <f t="shared" si="33"/>
        <v>Revisar ambas líneas</v>
      </c>
      <c r="Z50" s="15" t="s">
        <v>19</v>
      </c>
    </row>
    <row r="51" spans="1:26" x14ac:dyDescent="0.35">
      <c r="A51" s="15" t="s">
        <v>36</v>
      </c>
      <c r="B51" s="15" t="s">
        <v>38</v>
      </c>
      <c r="C51" s="15" t="s">
        <v>6</v>
      </c>
      <c r="D51" s="25">
        <v>1</v>
      </c>
      <c r="E51" s="25">
        <v>0</v>
      </c>
      <c r="F51" s="25">
        <f t="shared" si="17"/>
        <v>0</v>
      </c>
      <c r="G51" s="18">
        <v>160</v>
      </c>
      <c r="H51" s="18">
        <f t="shared" si="18"/>
        <v>160</v>
      </c>
      <c r="I51" s="18">
        <v>122.5</v>
      </c>
      <c r="J51" s="18">
        <f t="shared" si="19"/>
        <v>-37.5</v>
      </c>
      <c r="K51" s="25">
        <f t="shared" si="20"/>
        <v>0.765625</v>
      </c>
      <c r="L51" s="18">
        <f t="shared" si="21"/>
        <v>0</v>
      </c>
      <c r="M51" s="18">
        <v>0</v>
      </c>
      <c r="N51" s="18">
        <f t="shared" si="22"/>
        <v>0</v>
      </c>
      <c r="O51" s="25" t="str">
        <f t="shared" si="23"/>
        <v/>
      </c>
      <c r="P51" s="18">
        <f t="shared" si="24"/>
        <v>160</v>
      </c>
      <c r="Q51" s="18">
        <f t="shared" si="25"/>
        <v>122.5</v>
      </c>
      <c r="R51" s="18">
        <f t="shared" si="26"/>
        <v>-37.5</v>
      </c>
      <c r="S51" s="25">
        <f t="shared" si="27"/>
        <v>1</v>
      </c>
      <c r="T51" s="25">
        <f t="shared" si="28"/>
        <v>0</v>
      </c>
      <c r="U51" s="25">
        <f t="shared" si="29"/>
        <v>0</v>
      </c>
      <c r="V51" s="25">
        <f t="shared" si="30"/>
        <v>0</v>
      </c>
      <c r="W51" s="28" t="str">
        <f t="shared" si="31"/>
        <v>Desviación Fixed</v>
      </c>
      <c r="X51" s="15" t="str">
        <f t="shared" si="32"/>
        <v>No aplica RET</v>
      </c>
      <c r="Y51" s="15" t="str">
        <f t="shared" si="33"/>
        <v>Revisar ambas líneas</v>
      </c>
      <c r="Z51" s="15" t="s">
        <v>19</v>
      </c>
    </row>
    <row r="52" spans="1:26" x14ac:dyDescent="0.35">
      <c r="A52" s="26" t="s">
        <v>36</v>
      </c>
      <c r="B52" s="15" t="s">
        <v>38</v>
      </c>
      <c r="C52" s="15" t="s">
        <v>7</v>
      </c>
      <c r="D52" s="25">
        <v>1</v>
      </c>
      <c r="E52" s="25">
        <v>0</v>
      </c>
      <c r="F52" s="25">
        <f t="shared" si="17"/>
        <v>0</v>
      </c>
      <c r="G52" s="18">
        <v>33.5</v>
      </c>
      <c r="H52" s="18">
        <f t="shared" si="18"/>
        <v>33.5</v>
      </c>
      <c r="I52" s="18">
        <v>31</v>
      </c>
      <c r="J52" s="18">
        <f t="shared" si="19"/>
        <v>-2.5</v>
      </c>
      <c r="K52" s="25">
        <f t="shared" si="20"/>
        <v>0.92537313432835822</v>
      </c>
      <c r="L52" s="18">
        <f t="shared" si="21"/>
        <v>0</v>
      </c>
      <c r="M52" s="18">
        <v>0</v>
      </c>
      <c r="N52" s="18">
        <f t="shared" si="22"/>
        <v>0</v>
      </c>
      <c r="O52" s="25" t="str">
        <f t="shared" si="23"/>
        <v/>
      </c>
      <c r="P52" s="18">
        <f t="shared" si="24"/>
        <v>33.5</v>
      </c>
      <c r="Q52" s="18">
        <f t="shared" si="25"/>
        <v>31</v>
      </c>
      <c r="R52" s="18">
        <f t="shared" si="26"/>
        <v>-2.5</v>
      </c>
      <c r="S52" s="25">
        <f t="shared" si="27"/>
        <v>1</v>
      </c>
      <c r="T52" s="25">
        <f t="shared" si="28"/>
        <v>0</v>
      </c>
      <c r="U52" s="25">
        <f t="shared" si="29"/>
        <v>0</v>
      </c>
      <c r="V52" s="25">
        <f t="shared" si="30"/>
        <v>0</v>
      </c>
      <c r="W52" s="29" t="str">
        <f t="shared" si="31"/>
        <v>En rango Fixed</v>
      </c>
      <c r="X52" s="15" t="str">
        <f t="shared" si="32"/>
        <v>No aplica RET</v>
      </c>
      <c r="Y52" s="15" t="str">
        <f t="shared" si="33"/>
        <v>En rango ambas líneas</v>
      </c>
      <c r="Z52" s="15" t="s">
        <v>19</v>
      </c>
    </row>
    <row r="53" spans="1:26" x14ac:dyDescent="0.35">
      <c r="A53" s="15" t="s">
        <v>36</v>
      </c>
      <c r="B53" s="15" t="s">
        <v>39</v>
      </c>
      <c r="C53" s="15" t="s">
        <v>5</v>
      </c>
      <c r="D53" s="25">
        <v>1</v>
      </c>
      <c r="E53" s="25">
        <v>0</v>
      </c>
      <c r="F53" s="25">
        <f t="shared" si="17"/>
        <v>0</v>
      </c>
      <c r="G53" s="18">
        <v>176</v>
      </c>
      <c r="H53" s="18">
        <f t="shared" si="18"/>
        <v>176</v>
      </c>
      <c r="I53" s="18">
        <v>115</v>
      </c>
      <c r="J53" s="18">
        <f t="shared" si="19"/>
        <v>-61</v>
      </c>
      <c r="K53" s="25">
        <f t="shared" si="20"/>
        <v>0.65340909090909094</v>
      </c>
      <c r="L53" s="18">
        <f t="shared" si="21"/>
        <v>0</v>
      </c>
      <c r="M53" s="18">
        <v>0</v>
      </c>
      <c r="N53" s="18">
        <f t="shared" si="22"/>
        <v>0</v>
      </c>
      <c r="O53" s="25" t="str">
        <f t="shared" si="23"/>
        <v/>
      </c>
      <c r="P53" s="18">
        <f t="shared" si="24"/>
        <v>176</v>
      </c>
      <c r="Q53" s="18">
        <f t="shared" si="25"/>
        <v>115</v>
      </c>
      <c r="R53" s="18">
        <f t="shared" si="26"/>
        <v>-61</v>
      </c>
      <c r="S53" s="25">
        <f t="shared" si="27"/>
        <v>1</v>
      </c>
      <c r="T53" s="25">
        <f t="shared" si="28"/>
        <v>0</v>
      </c>
      <c r="U53" s="25">
        <f t="shared" si="29"/>
        <v>0</v>
      </c>
      <c r="V53" s="25">
        <f t="shared" si="30"/>
        <v>0</v>
      </c>
      <c r="W53" s="28" t="str">
        <f t="shared" si="31"/>
        <v>Desviación Fixed</v>
      </c>
      <c r="X53" s="15" t="str">
        <f t="shared" si="32"/>
        <v>No aplica RET</v>
      </c>
      <c r="Y53" s="15" t="str">
        <f t="shared" si="33"/>
        <v>Revisar ambas líneas</v>
      </c>
      <c r="Z53" s="15" t="s">
        <v>19</v>
      </c>
    </row>
    <row r="54" spans="1:26" x14ac:dyDescent="0.35">
      <c r="A54" s="26" t="s">
        <v>36</v>
      </c>
      <c r="B54" s="15" t="s">
        <v>39</v>
      </c>
      <c r="C54" s="15" t="s">
        <v>6</v>
      </c>
      <c r="D54" s="25">
        <v>1</v>
      </c>
      <c r="E54" s="25">
        <v>0</v>
      </c>
      <c r="F54" s="25">
        <f t="shared" si="17"/>
        <v>0</v>
      </c>
      <c r="G54" s="18">
        <v>160</v>
      </c>
      <c r="H54" s="18">
        <f t="shared" si="18"/>
        <v>160</v>
      </c>
      <c r="I54" s="18">
        <v>112</v>
      </c>
      <c r="J54" s="18">
        <f t="shared" si="19"/>
        <v>-48</v>
      </c>
      <c r="K54" s="25">
        <f t="shared" si="20"/>
        <v>0.7</v>
      </c>
      <c r="L54" s="18">
        <f t="shared" si="21"/>
        <v>0</v>
      </c>
      <c r="M54" s="18">
        <v>0</v>
      </c>
      <c r="N54" s="18">
        <f t="shared" si="22"/>
        <v>0</v>
      </c>
      <c r="O54" s="25" t="str">
        <f t="shared" si="23"/>
        <v/>
      </c>
      <c r="P54" s="18">
        <f t="shared" si="24"/>
        <v>160</v>
      </c>
      <c r="Q54" s="18">
        <f t="shared" si="25"/>
        <v>112</v>
      </c>
      <c r="R54" s="18">
        <f t="shared" si="26"/>
        <v>-48</v>
      </c>
      <c r="S54" s="25">
        <f t="shared" si="27"/>
        <v>1</v>
      </c>
      <c r="T54" s="25">
        <f t="shared" si="28"/>
        <v>0</v>
      </c>
      <c r="U54" s="25">
        <f t="shared" si="29"/>
        <v>0</v>
      </c>
      <c r="V54" s="25">
        <f t="shared" si="30"/>
        <v>0</v>
      </c>
      <c r="W54" s="28" t="str">
        <f t="shared" si="31"/>
        <v>Desviación Fixed</v>
      </c>
      <c r="X54" s="15" t="str">
        <f t="shared" si="32"/>
        <v>No aplica RET</v>
      </c>
      <c r="Y54" s="15" t="str">
        <f t="shared" si="33"/>
        <v>Revisar ambas líneas</v>
      </c>
      <c r="Z54" s="15" t="s">
        <v>19</v>
      </c>
    </row>
    <row r="55" spans="1:26" x14ac:dyDescent="0.35">
      <c r="A55" s="15" t="s">
        <v>36</v>
      </c>
      <c r="B55" s="15" t="s">
        <v>39</v>
      </c>
      <c r="C55" s="15" t="s">
        <v>7</v>
      </c>
      <c r="D55" s="25">
        <v>1</v>
      </c>
      <c r="E55" s="25">
        <v>0</v>
      </c>
      <c r="F55" s="25">
        <f t="shared" si="17"/>
        <v>0</v>
      </c>
      <c r="G55" s="18">
        <v>33.5</v>
      </c>
      <c r="H55" s="18">
        <f t="shared" si="18"/>
        <v>33.5</v>
      </c>
      <c r="I55" s="18">
        <v>31</v>
      </c>
      <c r="J55" s="18">
        <f t="shared" si="19"/>
        <v>-2.5</v>
      </c>
      <c r="K55" s="25">
        <f t="shared" si="20"/>
        <v>0.92537313432835822</v>
      </c>
      <c r="L55" s="18">
        <f t="shared" si="21"/>
        <v>0</v>
      </c>
      <c r="M55" s="18">
        <v>0</v>
      </c>
      <c r="N55" s="18">
        <f t="shared" si="22"/>
        <v>0</v>
      </c>
      <c r="O55" s="25" t="str">
        <f t="shared" si="23"/>
        <v/>
      </c>
      <c r="P55" s="18">
        <f t="shared" si="24"/>
        <v>33.5</v>
      </c>
      <c r="Q55" s="18">
        <f t="shared" si="25"/>
        <v>31</v>
      </c>
      <c r="R55" s="18">
        <f t="shared" si="26"/>
        <v>-2.5</v>
      </c>
      <c r="S55" s="25">
        <f t="shared" si="27"/>
        <v>1</v>
      </c>
      <c r="T55" s="25">
        <f t="shared" si="28"/>
        <v>0</v>
      </c>
      <c r="U55" s="25">
        <f t="shared" si="29"/>
        <v>0</v>
      </c>
      <c r="V55" s="25">
        <f t="shared" si="30"/>
        <v>0</v>
      </c>
      <c r="W55" s="29" t="str">
        <f t="shared" si="31"/>
        <v>En rango Fixed</v>
      </c>
      <c r="X55" s="15" t="str">
        <f t="shared" si="32"/>
        <v>No aplica RET</v>
      </c>
      <c r="Y55" s="15" t="str">
        <f t="shared" si="33"/>
        <v>En rango ambas líneas</v>
      </c>
      <c r="Z55" s="15" t="s">
        <v>19</v>
      </c>
    </row>
    <row r="56" spans="1:26" x14ac:dyDescent="0.35">
      <c r="A56" s="26" t="s">
        <v>40</v>
      </c>
      <c r="B56" s="15" t="s">
        <v>41</v>
      </c>
      <c r="C56" s="15" t="s">
        <v>5</v>
      </c>
      <c r="D56" s="25">
        <v>1</v>
      </c>
      <c r="E56" s="25">
        <v>0</v>
      </c>
      <c r="F56" s="25">
        <f t="shared" si="17"/>
        <v>0</v>
      </c>
      <c r="G56" s="18">
        <v>176</v>
      </c>
      <c r="H56" s="18">
        <f t="shared" si="18"/>
        <v>176</v>
      </c>
      <c r="I56" s="18">
        <v>179.5</v>
      </c>
      <c r="J56" s="18">
        <f t="shared" si="19"/>
        <v>3.5</v>
      </c>
      <c r="K56" s="25">
        <f t="shared" si="20"/>
        <v>1.0198863636363635</v>
      </c>
      <c r="L56" s="18">
        <f t="shared" si="21"/>
        <v>0</v>
      </c>
      <c r="M56" s="18">
        <v>0</v>
      </c>
      <c r="N56" s="18">
        <f t="shared" si="22"/>
        <v>0</v>
      </c>
      <c r="O56" s="25" t="str">
        <f t="shared" si="23"/>
        <v/>
      </c>
      <c r="P56" s="18">
        <f t="shared" si="24"/>
        <v>176</v>
      </c>
      <c r="Q56" s="18">
        <f t="shared" si="25"/>
        <v>179.5</v>
      </c>
      <c r="R56" s="18">
        <f t="shared" si="26"/>
        <v>3.5</v>
      </c>
      <c r="S56" s="25">
        <f t="shared" si="27"/>
        <v>1</v>
      </c>
      <c r="T56" s="25">
        <f t="shared" si="28"/>
        <v>0</v>
      </c>
      <c r="U56" s="25">
        <f t="shared" si="29"/>
        <v>0</v>
      </c>
      <c r="V56" s="25">
        <f t="shared" si="30"/>
        <v>0</v>
      </c>
      <c r="W56" s="29" t="str">
        <f t="shared" si="31"/>
        <v>En rango Fixed</v>
      </c>
      <c r="X56" s="15" t="str">
        <f t="shared" si="32"/>
        <v>No aplica RET</v>
      </c>
      <c r="Y56" s="15" t="str">
        <f t="shared" si="33"/>
        <v>En rango ambas líneas</v>
      </c>
      <c r="Z56" s="15" t="s">
        <v>19</v>
      </c>
    </row>
    <row r="57" spans="1:26" x14ac:dyDescent="0.35">
      <c r="A57" s="15" t="s">
        <v>40</v>
      </c>
      <c r="B57" s="15" t="s">
        <v>41</v>
      </c>
      <c r="C57" s="15" t="s">
        <v>6</v>
      </c>
      <c r="D57" s="25">
        <v>1</v>
      </c>
      <c r="E57" s="25">
        <v>0</v>
      </c>
      <c r="F57" s="25">
        <f t="shared" si="17"/>
        <v>0</v>
      </c>
      <c r="G57" s="18">
        <v>160</v>
      </c>
      <c r="H57" s="18">
        <f t="shared" si="18"/>
        <v>160</v>
      </c>
      <c r="I57" s="18">
        <v>160</v>
      </c>
      <c r="J57" s="18">
        <f t="shared" si="19"/>
        <v>0</v>
      </c>
      <c r="K57" s="25">
        <f t="shared" si="20"/>
        <v>1</v>
      </c>
      <c r="L57" s="18">
        <f t="shared" si="21"/>
        <v>0</v>
      </c>
      <c r="M57" s="18">
        <v>0</v>
      </c>
      <c r="N57" s="18">
        <f t="shared" si="22"/>
        <v>0</v>
      </c>
      <c r="O57" s="25" t="str">
        <f t="shared" si="23"/>
        <v/>
      </c>
      <c r="P57" s="18">
        <f t="shared" si="24"/>
        <v>160</v>
      </c>
      <c r="Q57" s="18">
        <f t="shared" si="25"/>
        <v>160</v>
      </c>
      <c r="R57" s="18">
        <f t="shared" si="26"/>
        <v>0</v>
      </c>
      <c r="S57" s="25">
        <f t="shared" si="27"/>
        <v>1</v>
      </c>
      <c r="T57" s="25">
        <f t="shared" si="28"/>
        <v>0</v>
      </c>
      <c r="U57" s="25">
        <f t="shared" si="29"/>
        <v>0</v>
      </c>
      <c r="V57" s="25">
        <f t="shared" si="30"/>
        <v>0</v>
      </c>
      <c r="W57" s="29" t="str">
        <f t="shared" si="31"/>
        <v>En rango Fixed</v>
      </c>
      <c r="X57" s="15" t="str">
        <f t="shared" si="32"/>
        <v>No aplica RET</v>
      </c>
      <c r="Y57" s="15" t="str">
        <f t="shared" si="33"/>
        <v>En rango ambas líneas</v>
      </c>
      <c r="Z57" s="15" t="s">
        <v>19</v>
      </c>
    </row>
    <row r="58" spans="1:26" x14ac:dyDescent="0.35">
      <c r="A58" s="26" t="s">
        <v>40</v>
      </c>
      <c r="B58" s="15" t="s">
        <v>41</v>
      </c>
      <c r="C58" s="15" t="s">
        <v>7</v>
      </c>
      <c r="D58" s="25">
        <v>0.5</v>
      </c>
      <c r="E58" s="25">
        <v>0.5</v>
      </c>
      <c r="F58" s="25">
        <f t="shared" si="17"/>
        <v>0</v>
      </c>
      <c r="G58" s="18">
        <v>33.5</v>
      </c>
      <c r="H58" s="18">
        <f t="shared" si="18"/>
        <v>16.75</v>
      </c>
      <c r="I58" s="18">
        <v>0</v>
      </c>
      <c r="J58" s="18">
        <f t="shared" si="19"/>
        <v>-16.75</v>
      </c>
      <c r="K58" s="25">
        <f t="shared" si="20"/>
        <v>0</v>
      </c>
      <c r="L58" s="18">
        <f t="shared" si="21"/>
        <v>16.75</v>
      </c>
      <c r="M58" s="18">
        <v>0</v>
      </c>
      <c r="N58" s="18">
        <f t="shared" si="22"/>
        <v>-16.75</v>
      </c>
      <c r="O58" s="25">
        <f t="shared" si="23"/>
        <v>0</v>
      </c>
      <c r="P58" s="18">
        <f t="shared" si="24"/>
        <v>33.5</v>
      </c>
      <c r="Q58" s="18">
        <f t="shared" si="25"/>
        <v>0</v>
      </c>
      <c r="R58" s="18">
        <f t="shared" si="26"/>
        <v>-33.5</v>
      </c>
      <c r="S58" s="25" t="str">
        <f t="shared" si="27"/>
        <v/>
      </c>
      <c r="T58" s="25" t="str">
        <f t="shared" si="28"/>
        <v/>
      </c>
      <c r="U58" s="25" t="str">
        <f t="shared" si="29"/>
        <v/>
      </c>
      <c r="V58" s="25" t="str">
        <f t="shared" si="30"/>
        <v/>
      </c>
      <c r="W58" s="28" t="str">
        <f t="shared" si="31"/>
        <v>Sin horas Fixed</v>
      </c>
      <c r="X58" s="15" t="str">
        <f t="shared" si="32"/>
        <v>Sin horas RET</v>
      </c>
      <c r="Y58" s="15" t="str">
        <f t="shared" si="33"/>
        <v>Revisar ambas líneas</v>
      </c>
      <c r="Z58" s="15" t="s">
        <v>19</v>
      </c>
    </row>
    <row r="59" spans="1:26" x14ac:dyDescent="0.35">
      <c r="A59" s="15" t="s">
        <v>40</v>
      </c>
      <c r="B59" s="15" t="s">
        <v>42</v>
      </c>
      <c r="C59" s="15" t="s">
        <v>5</v>
      </c>
      <c r="D59" s="25">
        <v>1</v>
      </c>
      <c r="E59" s="25">
        <v>0</v>
      </c>
      <c r="F59" s="25">
        <f t="shared" si="17"/>
        <v>0</v>
      </c>
      <c r="G59" s="18">
        <v>176</v>
      </c>
      <c r="H59" s="18">
        <f t="shared" si="18"/>
        <v>176</v>
      </c>
      <c r="I59" s="18">
        <v>85</v>
      </c>
      <c r="J59" s="18">
        <f t="shared" si="19"/>
        <v>-91</v>
      </c>
      <c r="K59" s="25">
        <f t="shared" si="20"/>
        <v>0.48295454545454547</v>
      </c>
      <c r="L59" s="18">
        <f t="shared" si="21"/>
        <v>0</v>
      </c>
      <c r="M59" s="18">
        <v>0</v>
      </c>
      <c r="N59" s="18">
        <f t="shared" si="22"/>
        <v>0</v>
      </c>
      <c r="O59" s="25" t="str">
        <f t="shared" si="23"/>
        <v/>
      </c>
      <c r="P59" s="18">
        <f t="shared" si="24"/>
        <v>176</v>
      </c>
      <c r="Q59" s="18">
        <f t="shared" si="25"/>
        <v>85</v>
      </c>
      <c r="R59" s="18">
        <f t="shared" si="26"/>
        <v>-91</v>
      </c>
      <c r="S59" s="25">
        <f t="shared" si="27"/>
        <v>1</v>
      </c>
      <c r="T59" s="25">
        <f t="shared" si="28"/>
        <v>0</v>
      </c>
      <c r="U59" s="25">
        <f t="shared" si="29"/>
        <v>0</v>
      </c>
      <c r="V59" s="25">
        <f t="shared" si="30"/>
        <v>0</v>
      </c>
      <c r="W59" s="28" t="str">
        <f t="shared" si="31"/>
        <v>Desviación Fixed</v>
      </c>
      <c r="X59" s="15" t="str">
        <f t="shared" si="32"/>
        <v>No aplica RET</v>
      </c>
      <c r="Y59" s="15" t="str">
        <f t="shared" si="33"/>
        <v>Revisar ambas líneas</v>
      </c>
      <c r="Z59" s="15" t="s">
        <v>19</v>
      </c>
    </row>
    <row r="60" spans="1:26" x14ac:dyDescent="0.35">
      <c r="A60" s="26" t="s">
        <v>40</v>
      </c>
      <c r="B60" s="15" t="s">
        <v>42</v>
      </c>
      <c r="C60" s="15" t="s">
        <v>6</v>
      </c>
      <c r="D60" s="25">
        <v>1</v>
      </c>
      <c r="E60" s="25">
        <v>0</v>
      </c>
      <c r="F60" s="25">
        <f t="shared" si="17"/>
        <v>0</v>
      </c>
      <c r="G60" s="18">
        <v>160</v>
      </c>
      <c r="H60" s="18">
        <f t="shared" si="18"/>
        <v>160</v>
      </c>
      <c r="I60" s="18">
        <v>86</v>
      </c>
      <c r="J60" s="18">
        <f t="shared" si="19"/>
        <v>-74</v>
      </c>
      <c r="K60" s="25">
        <f t="shared" si="20"/>
        <v>0.53749999999999998</v>
      </c>
      <c r="L60" s="18">
        <f t="shared" si="21"/>
        <v>0</v>
      </c>
      <c r="M60" s="18">
        <v>0</v>
      </c>
      <c r="N60" s="18">
        <f t="shared" si="22"/>
        <v>0</v>
      </c>
      <c r="O60" s="25" t="str">
        <f t="shared" si="23"/>
        <v/>
      </c>
      <c r="P60" s="18">
        <f t="shared" si="24"/>
        <v>160</v>
      </c>
      <c r="Q60" s="18">
        <f t="shared" si="25"/>
        <v>86</v>
      </c>
      <c r="R60" s="18">
        <f t="shared" si="26"/>
        <v>-74</v>
      </c>
      <c r="S60" s="25">
        <f t="shared" si="27"/>
        <v>1</v>
      </c>
      <c r="T60" s="25">
        <f t="shared" si="28"/>
        <v>0</v>
      </c>
      <c r="U60" s="25">
        <f t="shared" si="29"/>
        <v>0</v>
      </c>
      <c r="V60" s="25">
        <f t="shared" si="30"/>
        <v>0</v>
      </c>
      <c r="W60" s="28" t="str">
        <f t="shared" si="31"/>
        <v>Desviación Fixed</v>
      </c>
      <c r="X60" s="15" t="str">
        <f t="shared" si="32"/>
        <v>No aplica RET</v>
      </c>
      <c r="Y60" s="15" t="str">
        <f t="shared" si="33"/>
        <v>Revisar ambas líneas</v>
      </c>
      <c r="Z60" s="15" t="s">
        <v>19</v>
      </c>
    </row>
    <row r="61" spans="1:26" x14ac:dyDescent="0.35">
      <c r="A61" s="15" t="s">
        <v>40</v>
      </c>
      <c r="B61" s="15" t="s">
        <v>42</v>
      </c>
      <c r="C61" s="15" t="s">
        <v>7</v>
      </c>
      <c r="D61" s="25">
        <v>0</v>
      </c>
      <c r="E61" s="25">
        <v>0</v>
      </c>
      <c r="F61" s="25">
        <f t="shared" si="17"/>
        <v>1</v>
      </c>
      <c r="G61" s="18">
        <v>33.5</v>
      </c>
      <c r="H61" s="18">
        <f t="shared" si="18"/>
        <v>0</v>
      </c>
      <c r="I61" s="18">
        <v>34</v>
      </c>
      <c r="J61" s="18">
        <f t="shared" si="19"/>
        <v>34</v>
      </c>
      <c r="K61" s="25" t="str">
        <f t="shared" si="20"/>
        <v/>
      </c>
      <c r="L61" s="18">
        <f t="shared" si="21"/>
        <v>0</v>
      </c>
      <c r="M61" s="18">
        <v>0</v>
      </c>
      <c r="N61" s="18">
        <f t="shared" si="22"/>
        <v>0</v>
      </c>
      <c r="O61" s="25" t="str">
        <f t="shared" si="23"/>
        <v/>
      </c>
      <c r="P61" s="18">
        <f t="shared" si="24"/>
        <v>0</v>
      </c>
      <c r="Q61" s="18">
        <f t="shared" si="25"/>
        <v>34</v>
      </c>
      <c r="R61" s="18">
        <f t="shared" si="26"/>
        <v>34</v>
      </c>
      <c r="S61" s="25">
        <f t="shared" si="27"/>
        <v>1</v>
      </c>
      <c r="T61" s="25">
        <f t="shared" si="28"/>
        <v>0</v>
      </c>
      <c r="U61" s="25">
        <f t="shared" si="29"/>
        <v>1</v>
      </c>
      <c r="V61" s="25">
        <f t="shared" si="30"/>
        <v>0</v>
      </c>
      <c r="W61" s="28" t="str">
        <f t="shared" si="31"/>
        <v>Carga no planeada Fixed</v>
      </c>
      <c r="X61" s="15" t="str">
        <f t="shared" si="32"/>
        <v>No aplica RET</v>
      </c>
      <c r="Y61" s="15" t="str">
        <f t="shared" si="33"/>
        <v>Revisar ambas líneas</v>
      </c>
      <c r="Z61" s="15" t="s">
        <v>19</v>
      </c>
    </row>
    <row r="62" spans="1:26" x14ac:dyDescent="0.35">
      <c r="A62" s="26" t="s">
        <v>43</v>
      </c>
      <c r="B62" s="15" t="s">
        <v>44</v>
      </c>
      <c r="C62" s="15" t="s">
        <v>5</v>
      </c>
      <c r="D62" s="25">
        <v>1</v>
      </c>
      <c r="E62" s="25">
        <v>0</v>
      </c>
      <c r="F62" s="25">
        <f t="shared" si="17"/>
        <v>0</v>
      </c>
      <c r="G62" s="18">
        <v>176</v>
      </c>
      <c r="H62" s="18">
        <f t="shared" si="18"/>
        <v>176</v>
      </c>
      <c r="I62" s="18">
        <v>171.5</v>
      </c>
      <c r="J62" s="18">
        <f t="shared" si="19"/>
        <v>-4.5</v>
      </c>
      <c r="K62" s="25">
        <f t="shared" si="20"/>
        <v>0.97443181818181823</v>
      </c>
      <c r="L62" s="18">
        <f t="shared" si="21"/>
        <v>0</v>
      </c>
      <c r="M62" s="18">
        <v>0</v>
      </c>
      <c r="N62" s="18">
        <f t="shared" si="22"/>
        <v>0</v>
      </c>
      <c r="O62" s="25" t="str">
        <f t="shared" si="23"/>
        <v/>
      </c>
      <c r="P62" s="18">
        <f t="shared" si="24"/>
        <v>176</v>
      </c>
      <c r="Q62" s="18">
        <f t="shared" si="25"/>
        <v>171.5</v>
      </c>
      <c r="R62" s="18">
        <f t="shared" si="26"/>
        <v>-4.5</v>
      </c>
      <c r="S62" s="25">
        <f t="shared" si="27"/>
        <v>1</v>
      </c>
      <c r="T62" s="25">
        <f t="shared" si="28"/>
        <v>0</v>
      </c>
      <c r="U62" s="25">
        <f t="shared" si="29"/>
        <v>0</v>
      </c>
      <c r="V62" s="25">
        <f t="shared" si="30"/>
        <v>0</v>
      </c>
      <c r="W62" s="29" t="str">
        <f t="shared" si="31"/>
        <v>En rango Fixed</v>
      </c>
      <c r="X62" s="15" t="str">
        <f t="shared" si="32"/>
        <v>No aplica RET</v>
      </c>
      <c r="Y62" s="15" t="str">
        <f t="shared" si="33"/>
        <v>En rango ambas líneas</v>
      </c>
      <c r="Z62" s="15" t="s">
        <v>19</v>
      </c>
    </row>
    <row r="63" spans="1:26" x14ac:dyDescent="0.35">
      <c r="A63" s="15" t="s">
        <v>43</v>
      </c>
      <c r="B63" s="15" t="s">
        <v>44</v>
      </c>
      <c r="C63" s="15" t="s">
        <v>6</v>
      </c>
      <c r="D63" s="25">
        <v>1</v>
      </c>
      <c r="E63" s="25">
        <v>0</v>
      </c>
      <c r="F63" s="25">
        <f t="shared" si="17"/>
        <v>0</v>
      </c>
      <c r="G63" s="18">
        <v>160</v>
      </c>
      <c r="H63" s="18">
        <f t="shared" si="18"/>
        <v>160</v>
      </c>
      <c r="I63" s="18">
        <v>160</v>
      </c>
      <c r="J63" s="18">
        <f t="shared" si="19"/>
        <v>0</v>
      </c>
      <c r="K63" s="25">
        <f t="shared" si="20"/>
        <v>1</v>
      </c>
      <c r="L63" s="18">
        <f t="shared" si="21"/>
        <v>0</v>
      </c>
      <c r="M63" s="18">
        <v>0</v>
      </c>
      <c r="N63" s="18">
        <f t="shared" si="22"/>
        <v>0</v>
      </c>
      <c r="O63" s="25" t="str">
        <f t="shared" si="23"/>
        <v/>
      </c>
      <c r="P63" s="18">
        <f t="shared" si="24"/>
        <v>160</v>
      </c>
      <c r="Q63" s="18">
        <f t="shared" si="25"/>
        <v>160</v>
      </c>
      <c r="R63" s="18">
        <f t="shared" si="26"/>
        <v>0</v>
      </c>
      <c r="S63" s="25">
        <f t="shared" si="27"/>
        <v>1</v>
      </c>
      <c r="T63" s="25">
        <f t="shared" si="28"/>
        <v>0</v>
      </c>
      <c r="U63" s="25">
        <f t="shared" si="29"/>
        <v>0</v>
      </c>
      <c r="V63" s="25">
        <f t="shared" si="30"/>
        <v>0</v>
      </c>
      <c r="W63" s="29" t="str">
        <f t="shared" si="31"/>
        <v>En rango Fixed</v>
      </c>
      <c r="X63" s="15" t="str">
        <f t="shared" si="32"/>
        <v>No aplica RET</v>
      </c>
      <c r="Y63" s="15" t="str">
        <f t="shared" si="33"/>
        <v>En rango ambas líneas</v>
      </c>
      <c r="Z63" s="15" t="s">
        <v>19</v>
      </c>
    </row>
    <row r="64" spans="1:26" x14ac:dyDescent="0.35">
      <c r="A64" s="26" t="s">
        <v>43</v>
      </c>
      <c r="B64" s="15" t="s">
        <v>44</v>
      </c>
      <c r="C64" s="15" t="s">
        <v>7</v>
      </c>
      <c r="D64" s="25">
        <v>0.5</v>
      </c>
      <c r="E64" s="25">
        <v>0.5</v>
      </c>
      <c r="F64" s="25">
        <f t="shared" si="17"/>
        <v>0</v>
      </c>
      <c r="G64" s="18">
        <v>33.5</v>
      </c>
      <c r="H64" s="18">
        <f t="shared" si="18"/>
        <v>16.75</v>
      </c>
      <c r="I64" s="18">
        <v>12.5</v>
      </c>
      <c r="J64" s="18">
        <f t="shared" si="19"/>
        <v>-4.25</v>
      </c>
      <c r="K64" s="25">
        <f t="shared" si="20"/>
        <v>0.74626865671641796</v>
      </c>
      <c r="L64" s="18">
        <f t="shared" si="21"/>
        <v>16.75</v>
      </c>
      <c r="M64" s="18">
        <v>21</v>
      </c>
      <c r="N64" s="18">
        <f t="shared" si="22"/>
        <v>4.25</v>
      </c>
      <c r="O64" s="25">
        <f t="shared" si="23"/>
        <v>1.2537313432835822</v>
      </c>
      <c r="P64" s="18">
        <f t="shared" si="24"/>
        <v>33.5</v>
      </c>
      <c r="Q64" s="18">
        <f t="shared" si="25"/>
        <v>33.5</v>
      </c>
      <c r="R64" s="18">
        <f t="shared" si="26"/>
        <v>0</v>
      </c>
      <c r="S64" s="25">
        <f t="shared" si="27"/>
        <v>0.37313432835820898</v>
      </c>
      <c r="T64" s="25">
        <f t="shared" si="28"/>
        <v>0.62686567164179108</v>
      </c>
      <c r="U64" s="25">
        <f t="shared" si="29"/>
        <v>-0.12686567164179102</v>
      </c>
      <c r="V64" s="25">
        <f t="shared" si="30"/>
        <v>0.12686567164179108</v>
      </c>
      <c r="W64" s="29" t="str">
        <f t="shared" si="31"/>
        <v>En rango Fixed</v>
      </c>
      <c r="X64" s="15" t="str">
        <f t="shared" si="32"/>
        <v>En rango RET</v>
      </c>
      <c r="Y64" s="15" t="str">
        <f t="shared" si="33"/>
        <v>En rango ambas líneas</v>
      </c>
      <c r="Z64" s="15" t="s">
        <v>19</v>
      </c>
    </row>
    <row r="65" spans="1:26" x14ac:dyDescent="0.35">
      <c r="A65" s="15" t="s">
        <v>43</v>
      </c>
      <c r="B65" s="15" t="s">
        <v>45</v>
      </c>
      <c r="C65" s="15" t="s">
        <v>5</v>
      </c>
      <c r="D65" s="25">
        <v>1</v>
      </c>
      <c r="E65" s="25">
        <v>0</v>
      </c>
      <c r="F65" s="25">
        <f t="shared" si="17"/>
        <v>0</v>
      </c>
      <c r="G65" s="18">
        <v>176</v>
      </c>
      <c r="H65" s="18">
        <f t="shared" si="18"/>
        <v>176</v>
      </c>
      <c r="I65" s="18">
        <v>62</v>
      </c>
      <c r="J65" s="18">
        <f t="shared" si="19"/>
        <v>-114</v>
      </c>
      <c r="K65" s="25">
        <f t="shared" si="20"/>
        <v>0.35227272727272729</v>
      </c>
      <c r="L65" s="18">
        <f t="shared" si="21"/>
        <v>0</v>
      </c>
      <c r="M65" s="18">
        <v>0</v>
      </c>
      <c r="N65" s="18">
        <f t="shared" si="22"/>
        <v>0</v>
      </c>
      <c r="O65" s="25" t="str">
        <f t="shared" si="23"/>
        <v/>
      </c>
      <c r="P65" s="18">
        <f t="shared" si="24"/>
        <v>176</v>
      </c>
      <c r="Q65" s="18">
        <f t="shared" si="25"/>
        <v>62</v>
      </c>
      <c r="R65" s="18">
        <f t="shared" si="26"/>
        <v>-114</v>
      </c>
      <c r="S65" s="25">
        <f t="shared" si="27"/>
        <v>1</v>
      </c>
      <c r="T65" s="25">
        <f t="shared" si="28"/>
        <v>0</v>
      </c>
      <c r="U65" s="25">
        <f t="shared" si="29"/>
        <v>0</v>
      </c>
      <c r="V65" s="25">
        <f t="shared" si="30"/>
        <v>0</v>
      </c>
      <c r="W65" s="28" t="str">
        <f t="shared" si="31"/>
        <v>Desviación Fixed</v>
      </c>
      <c r="X65" s="15" t="str">
        <f t="shared" si="32"/>
        <v>No aplica RET</v>
      </c>
      <c r="Y65" s="15" t="str">
        <f t="shared" si="33"/>
        <v>Revisar ambas líneas</v>
      </c>
      <c r="Z65" s="15" t="s">
        <v>19</v>
      </c>
    </row>
    <row r="66" spans="1:26" x14ac:dyDescent="0.35">
      <c r="A66" s="26" t="s">
        <v>43</v>
      </c>
      <c r="B66" s="15" t="s">
        <v>45</v>
      </c>
      <c r="C66" s="15" t="s">
        <v>6</v>
      </c>
      <c r="D66" s="25">
        <v>1</v>
      </c>
      <c r="E66" s="25">
        <v>0</v>
      </c>
      <c r="F66" s="25">
        <f t="shared" si="17"/>
        <v>0</v>
      </c>
      <c r="G66" s="18">
        <v>160</v>
      </c>
      <c r="H66" s="18">
        <f t="shared" si="18"/>
        <v>160</v>
      </c>
      <c r="I66" s="18">
        <v>90.5</v>
      </c>
      <c r="J66" s="18">
        <f t="shared" si="19"/>
        <v>-69.5</v>
      </c>
      <c r="K66" s="25">
        <f t="shared" si="20"/>
        <v>0.56562500000000004</v>
      </c>
      <c r="L66" s="18">
        <f t="shared" si="21"/>
        <v>0</v>
      </c>
      <c r="M66" s="18">
        <v>37.5</v>
      </c>
      <c r="N66" s="18">
        <f t="shared" si="22"/>
        <v>37.5</v>
      </c>
      <c r="O66" s="25" t="str">
        <f t="shared" si="23"/>
        <v/>
      </c>
      <c r="P66" s="18">
        <f t="shared" si="24"/>
        <v>160</v>
      </c>
      <c r="Q66" s="18">
        <f t="shared" si="25"/>
        <v>128</v>
      </c>
      <c r="R66" s="18">
        <f t="shared" si="26"/>
        <v>-32</v>
      </c>
      <c r="S66" s="25">
        <f t="shared" si="27"/>
        <v>0.70703125</v>
      </c>
      <c r="T66" s="25">
        <f t="shared" si="28"/>
        <v>0.29296875</v>
      </c>
      <c r="U66" s="25">
        <f t="shared" si="29"/>
        <v>-0.29296875</v>
      </c>
      <c r="V66" s="25">
        <f t="shared" si="30"/>
        <v>0.29296875</v>
      </c>
      <c r="W66" s="28" t="str">
        <f t="shared" si="31"/>
        <v>Desviación Fixed</v>
      </c>
      <c r="X66" s="15" t="str">
        <f t="shared" si="32"/>
        <v>Carga no planeada RET</v>
      </c>
      <c r="Y66" s="15" t="str">
        <f t="shared" si="33"/>
        <v>Revisar ambas líneas</v>
      </c>
      <c r="Z66" s="15" t="s">
        <v>19</v>
      </c>
    </row>
    <row r="67" spans="1:26" x14ac:dyDescent="0.35">
      <c r="A67" s="15" t="s">
        <v>43</v>
      </c>
      <c r="B67" s="15" t="s">
        <v>45</v>
      </c>
      <c r="C67" s="15" t="s">
        <v>7</v>
      </c>
      <c r="D67" s="25">
        <v>0.5</v>
      </c>
      <c r="E67" s="25">
        <v>0.5</v>
      </c>
      <c r="F67" s="25">
        <f t="shared" si="17"/>
        <v>0</v>
      </c>
      <c r="G67" s="18">
        <v>33.5</v>
      </c>
      <c r="H67" s="18">
        <f t="shared" si="18"/>
        <v>16.75</v>
      </c>
      <c r="I67" s="18">
        <v>12.5</v>
      </c>
      <c r="J67" s="18">
        <f t="shared" si="19"/>
        <v>-4.25</v>
      </c>
      <c r="K67" s="25">
        <f t="shared" si="20"/>
        <v>0.74626865671641796</v>
      </c>
      <c r="L67" s="18">
        <f t="shared" si="21"/>
        <v>16.75</v>
      </c>
      <c r="M67" s="18">
        <v>21</v>
      </c>
      <c r="N67" s="18">
        <f t="shared" si="22"/>
        <v>4.25</v>
      </c>
      <c r="O67" s="25">
        <f t="shared" si="23"/>
        <v>1.2537313432835822</v>
      </c>
      <c r="P67" s="18">
        <f t="shared" si="24"/>
        <v>33.5</v>
      </c>
      <c r="Q67" s="18">
        <f t="shared" si="25"/>
        <v>33.5</v>
      </c>
      <c r="R67" s="18">
        <f t="shared" si="26"/>
        <v>0</v>
      </c>
      <c r="S67" s="25">
        <f t="shared" si="27"/>
        <v>0.37313432835820898</v>
      </c>
      <c r="T67" s="25">
        <f t="shared" si="28"/>
        <v>0.62686567164179108</v>
      </c>
      <c r="U67" s="25">
        <f t="shared" si="29"/>
        <v>-0.12686567164179102</v>
      </c>
      <c r="V67" s="25">
        <f t="shared" si="30"/>
        <v>0.12686567164179108</v>
      </c>
      <c r="W67" s="29" t="str">
        <f t="shared" si="31"/>
        <v>En rango Fixed</v>
      </c>
      <c r="X67" s="15" t="str">
        <f t="shared" si="32"/>
        <v>En rango RET</v>
      </c>
      <c r="Y67" s="15" t="str">
        <f t="shared" si="33"/>
        <v>En rango ambas líneas</v>
      </c>
      <c r="Z67" s="15" t="s">
        <v>19</v>
      </c>
    </row>
    <row r="68" spans="1:26" x14ac:dyDescent="0.35">
      <c r="A68" s="26" t="s">
        <v>43</v>
      </c>
      <c r="B68" s="15" t="s">
        <v>46</v>
      </c>
      <c r="C68" s="15" t="s">
        <v>5</v>
      </c>
      <c r="D68" s="25">
        <v>1</v>
      </c>
      <c r="E68" s="25">
        <v>0</v>
      </c>
      <c r="F68" s="25">
        <f t="shared" si="17"/>
        <v>0</v>
      </c>
      <c r="G68" s="18">
        <v>176</v>
      </c>
      <c r="H68" s="18">
        <f t="shared" si="18"/>
        <v>176</v>
      </c>
      <c r="I68" s="18">
        <v>108</v>
      </c>
      <c r="J68" s="18">
        <f t="shared" si="19"/>
        <v>-68</v>
      </c>
      <c r="K68" s="25">
        <f t="shared" si="20"/>
        <v>0.61363636363636365</v>
      </c>
      <c r="L68" s="18">
        <f t="shared" si="21"/>
        <v>0</v>
      </c>
      <c r="M68" s="18">
        <v>0</v>
      </c>
      <c r="N68" s="18">
        <f t="shared" si="22"/>
        <v>0</v>
      </c>
      <c r="O68" s="25" t="str">
        <f t="shared" si="23"/>
        <v/>
      </c>
      <c r="P68" s="18">
        <f t="shared" si="24"/>
        <v>176</v>
      </c>
      <c r="Q68" s="18">
        <f t="shared" si="25"/>
        <v>108</v>
      </c>
      <c r="R68" s="18">
        <f t="shared" si="26"/>
        <v>-68</v>
      </c>
      <c r="S68" s="25">
        <f t="shared" si="27"/>
        <v>1</v>
      </c>
      <c r="T68" s="25">
        <f t="shared" si="28"/>
        <v>0</v>
      </c>
      <c r="U68" s="25">
        <f t="shared" si="29"/>
        <v>0</v>
      </c>
      <c r="V68" s="25">
        <f t="shared" si="30"/>
        <v>0</v>
      </c>
      <c r="W68" s="28" t="str">
        <f t="shared" si="31"/>
        <v>Desviación Fixed</v>
      </c>
      <c r="X68" s="15" t="str">
        <f t="shared" si="32"/>
        <v>No aplica RET</v>
      </c>
      <c r="Y68" s="15" t="str">
        <f t="shared" si="33"/>
        <v>Revisar ambas líneas</v>
      </c>
      <c r="Z68" s="15" t="s">
        <v>19</v>
      </c>
    </row>
    <row r="69" spans="1:26" x14ac:dyDescent="0.35">
      <c r="A69" s="15" t="s">
        <v>43</v>
      </c>
      <c r="B69" s="15" t="s">
        <v>46</v>
      </c>
      <c r="C69" s="15" t="s">
        <v>6</v>
      </c>
      <c r="D69" s="25">
        <v>1</v>
      </c>
      <c r="E69" s="25">
        <v>0</v>
      </c>
      <c r="F69" s="25">
        <f t="shared" ref="F69:F100" si="34">MAX(0,1-D69-E69)</f>
        <v>0</v>
      </c>
      <c r="G69" s="18">
        <v>160</v>
      </c>
      <c r="H69" s="18">
        <f t="shared" ref="H69:H100" si="35">D69*G69</f>
        <v>160</v>
      </c>
      <c r="I69" s="18">
        <v>122</v>
      </c>
      <c r="J69" s="18">
        <f t="shared" ref="J69:J100" si="36">I69-H69</f>
        <v>-38</v>
      </c>
      <c r="K69" s="25">
        <f t="shared" ref="K69:K100" si="37">IF(H69=0,"",I69/H69)</f>
        <v>0.76249999999999996</v>
      </c>
      <c r="L69" s="18">
        <f t="shared" ref="L69:L100" si="38">E69*G69</f>
        <v>0</v>
      </c>
      <c r="M69" s="18">
        <v>0</v>
      </c>
      <c r="N69" s="18">
        <f t="shared" ref="N69:N100" si="39">M69-L69</f>
        <v>0</v>
      </c>
      <c r="O69" s="25" t="str">
        <f t="shared" ref="O69:O100" si="40">IF(L69=0,"",M69/L69)</f>
        <v/>
      </c>
      <c r="P69" s="18">
        <f t="shared" ref="P69:P100" si="41">H69+L69</f>
        <v>160</v>
      </c>
      <c r="Q69" s="18">
        <f t="shared" ref="Q69:Q100" si="42">I69+M69</f>
        <v>122</v>
      </c>
      <c r="R69" s="18">
        <f t="shared" ref="R69:R100" si="43">Q69-P69</f>
        <v>-38</v>
      </c>
      <c r="S69" s="25">
        <f t="shared" ref="S69:S100" si="44">IF(Q69=0,"",I69/Q69)</f>
        <v>1</v>
      </c>
      <c r="T69" s="25">
        <f t="shared" ref="T69:T100" si="45">IF(Q69=0,"",M69/Q69)</f>
        <v>0</v>
      </c>
      <c r="U69" s="25">
        <f t="shared" ref="U69:U100" si="46">IF(S69="","",S69-D69)</f>
        <v>0</v>
      </c>
      <c r="V69" s="25">
        <f t="shared" ref="V69:V100" si="47">IF(T69="","",T69-E69)</f>
        <v>0</v>
      </c>
      <c r="W69" s="28" t="str">
        <f t="shared" ref="W69:W100" si="48">IF(Z69="Sí","Excluido",IF(AND(D69=0,I69=0),"No aplica Fixed",IF(AND(D69=0,I69&gt;0),"Carga no planeada Fixed",IF(AND(D69&gt;0,I69=0),"Sin horas Fixed",IF(ABS(J69)&gt;MAX(8,H69*10%),"Desviación Fixed","En rango Fixed")))))</f>
        <v>Desviación Fixed</v>
      </c>
      <c r="X69" s="15" t="str">
        <f t="shared" ref="X69:X100" si="49">IF(Z69="Sí","Excluido",IF(AND(E69=0,M69=0),"No aplica RET",IF(AND(E69=0,M69&gt;0),"Carga no planeada RET",IF(AND(E69&gt;0,M69=0),"Sin horas RET",IF(ABS(N69)&gt;MAX(8,L69*10%),"Desviación RET","En rango RET")))))</f>
        <v>No aplica RET</v>
      </c>
      <c r="Y69" s="15" t="str">
        <f t="shared" ref="Y69:Y100" si="50">IF(Z69="Sí","Excluido - auditoría/contratista",IF(OR(ISNUMBER(SEARCH("Carga",W69)),ISNUMBER(SEARCH("Sin horas",W69)),ISNUMBER(SEARCH("Desviación",W69)),ISNUMBER(SEARCH("Carga",X69)),ISNUMBER(SEARCH("Sin horas",X69)),ISNUMBER(SEARCH("Desviación",X69))),"Revisar ambas líneas",IF(ABS(R69)&gt;MAX(8,P69*10%),"Desviación total",IF(F69&gt;0,"En rango - plan parcial","En rango ambas líneas"))))</f>
        <v>Revisar ambas líneas</v>
      </c>
      <c r="Z69" s="15" t="s">
        <v>19</v>
      </c>
    </row>
    <row r="70" spans="1:26" x14ac:dyDescent="0.35">
      <c r="A70" s="26" t="s">
        <v>43</v>
      </c>
      <c r="B70" s="15" t="s">
        <v>46</v>
      </c>
      <c r="C70" s="15" t="s">
        <v>7</v>
      </c>
      <c r="D70" s="25">
        <v>0</v>
      </c>
      <c r="E70" s="25">
        <v>0</v>
      </c>
      <c r="F70" s="25">
        <f t="shared" si="34"/>
        <v>1</v>
      </c>
      <c r="G70" s="18">
        <v>33.5</v>
      </c>
      <c r="H70" s="18">
        <f t="shared" si="35"/>
        <v>0</v>
      </c>
      <c r="I70" s="18">
        <v>33</v>
      </c>
      <c r="J70" s="18">
        <f t="shared" si="36"/>
        <v>33</v>
      </c>
      <c r="K70" s="25" t="str">
        <f t="shared" si="37"/>
        <v/>
      </c>
      <c r="L70" s="18">
        <f t="shared" si="38"/>
        <v>0</v>
      </c>
      <c r="M70" s="18">
        <v>0</v>
      </c>
      <c r="N70" s="18">
        <f t="shared" si="39"/>
        <v>0</v>
      </c>
      <c r="O70" s="25" t="str">
        <f t="shared" si="40"/>
        <v/>
      </c>
      <c r="P70" s="18">
        <f t="shared" si="41"/>
        <v>0</v>
      </c>
      <c r="Q70" s="18">
        <f t="shared" si="42"/>
        <v>33</v>
      </c>
      <c r="R70" s="18">
        <f t="shared" si="43"/>
        <v>33</v>
      </c>
      <c r="S70" s="25">
        <f t="shared" si="44"/>
        <v>1</v>
      </c>
      <c r="T70" s="25">
        <f t="shared" si="45"/>
        <v>0</v>
      </c>
      <c r="U70" s="25">
        <f t="shared" si="46"/>
        <v>1</v>
      </c>
      <c r="V70" s="25">
        <f t="shared" si="47"/>
        <v>0</v>
      </c>
      <c r="W70" s="28" t="str">
        <f t="shared" si="48"/>
        <v>Carga no planeada Fixed</v>
      </c>
      <c r="X70" s="15" t="str">
        <f t="shared" si="49"/>
        <v>No aplica RET</v>
      </c>
      <c r="Y70" s="15" t="str">
        <f t="shared" si="50"/>
        <v>Revisar ambas líneas</v>
      </c>
      <c r="Z70" s="15" t="s">
        <v>19</v>
      </c>
    </row>
    <row r="71" spans="1:26" x14ac:dyDescent="0.35">
      <c r="A71" s="15" t="s">
        <v>47</v>
      </c>
      <c r="B71" s="15" t="s">
        <v>48</v>
      </c>
      <c r="C71" s="15" t="s">
        <v>5</v>
      </c>
      <c r="D71" s="25">
        <v>1</v>
      </c>
      <c r="E71" s="25">
        <v>0</v>
      </c>
      <c r="F71" s="25">
        <f t="shared" si="34"/>
        <v>0</v>
      </c>
      <c r="G71" s="18">
        <v>176</v>
      </c>
      <c r="H71" s="18">
        <f t="shared" si="35"/>
        <v>176</v>
      </c>
      <c r="I71" s="18">
        <v>165.75</v>
      </c>
      <c r="J71" s="18">
        <f t="shared" si="36"/>
        <v>-10.25</v>
      </c>
      <c r="K71" s="25">
        <f t="shared" si="37"/>
        <v>0.94176136363636365</v>
      </c>
      <c r="L71" s="18">
        <f t="shared" si="38"/>
        <v>0</v>
      </c>
      <c r="M71" s="18">
        <v>0</v>
      </c>
      <c r="N71" s="18">
        <f t="shared" si="39"/>
        <v>0</v>
      </c>
      <c r="O71" s="25" t="str">
        <f t="shared" si="40"/>
        <v/>
      </c>
      <c r="P71" s="18">
        <f t="shared" si="41"/>
        <v>176</v>
      </c>
      <c r="Q71" s="18">
        <f t="shared" si="42"/>
        <v>165.75</v>
      </c>
      <c r="R71" s="18">
        <f t="shared" si="43"/>
        <v>-10.25</v>
      </c>
      <c r="S71" s="25">
        <f t="shared" si="44"/>
        <v>1</v>
      </c>
      <c r="T71" s="25">
        <f t="shared" si="45"/>
        <v>0</v>
      </c>
      <c r="U71" s="25">
        <f t="shared" si="46"/>
        <v>0</v>
      </c>
      <c r="V71" s="25">
        <f t="shared" si="47"/>
        <v>0</v>
      </c>
      <c r="W71" s="29" t="str">
        <f t="shared" si="48"/>
        <v>En rango Fixed</v>
      </c>
      <c r="X71" s="15" t="str">
        <f t="shared" si="49"/>
        <v>No aplica RET</v>
      </c>
      <c r="Y71" s="15" t="str">
        <f t="shared" si="50"/>
        <v>En rango ambas líneas</v>
      </c>
      <c r="Z71" s="15" t="s">
        <v>19</v>
      </c>
    </row>
    <row r="72" spans="1:26" x14ac:dyDescent="0.35">
      <c r="A72" s="26" t="s">
        <v>47</v>
      </c>
      <c r="B72" s="15" t="s">
        <v>48</v>
      </c>
      <c r="C72" s="15" t="s">
        <v>6</v>
      </c>
      <c r="D72" s="25">
        <v>0.7</v>
      </c>
      <c r="E72" s="25">
        <v>0.3</v>
      </c>
      <c r="F72" s="25">
        <f t="shared" si="34"/>
        <v>5.5511151231257827E-17</v>
      </c>
      <c r="G72" s="18">
        <v>160</v>
      </c>
      <c r="H72" s="18">
        <f t="shared" si="35"/>
        <v>112</v>
      </c>
      <c r="I72" s="18">
        <v>75</v>
      </c>
      <c r="J72" s="18">
        <f t="shared" si="36"/>
        <v>-37</v>
      </c>
      <c r="K72" s="25">
        <f t="shared" si="37"/>
        <v>0.6696428571428571</v>
      </c>
      <c r="L72" s="18">
        <f t="shared" si="38"/>
        <v>48</v>
      </c>
      <c r="M72" s="18">
        <v>19</v>
      </c>
      <c r="N72" s="18">
        <f t="shared" si="39"/>
        <v>-29</v>
      </c>
      <c r="O72" s="25">
        <f t="shared" si="40"/>
        <v>0.39583333333333331</v>
      </c>
      <c r="P72" s="18">
        <f t="shared" si="41"/>
        <v>160</v>
      </c>
      <c r="Q72" s="18">
        <f t="shared" si="42"/>
        <v>94</v>
      </c>
      <c r="R72" s="18">
        <f t="shared" si="43"/>
        <v>-66</v>
      </c>
      <c r="S72" s="25">
        <f t="shared" si="44"/>
        <v>0.7978723404255319</v>
      </c>
      <c r="T72" s="25">
        <f t="shared" si="45"/>
        <v>0.20212765957446807</v>
      </c>
      <c r="U72" s="25">
        <f t="shared" si="46"/>
        <v>9.7872340425531945E-2</v>
      </c>
      <c r="V72" s="25">
        <f t="shared" si="47"/>
        <v>-9.7872340425531917E-2</v>
      </c>
      <c r="W72" s="28" t="str">
        <f t="shared" si="48"/>
        <v>Desviación Fixed</v>
      </c>
      <c r="X72" s="15" t="str">
        <f t="shared" si="49"/>
        <v>Desviación RET</v>
      </c>
      <c r="Y72" s="15" t="str">
        <f t="shared" si="50"/>
        <v>Revisar ambas líneas</v>
      </c>
      <c r="Z72" s="15" t="s">
        <v>19</v>
      </c>
    </row>
    <row r="73" spans="1:26" x14ac:dyDescent="0.35">
      <c r="A73" s="15" t="s">
        <v>47</v>
      </c>
      <c r="B73" s="15" t="s">
        <v>48</v>
      </c>
      <c r="C73" s="15" t="s">
        <v>7</v>
      </c>
      <c r="D73" s="25">
        <v>0.7</v>
      </c>
      <c r="E73" s="25">
        <v>0.3</v>
      </c>
      <c r="F73" s="25">
        <f t="shared" si="34"/>
        <v>5.5511151231257827E-17</v>
      </c>
      <c r="G73" s="18">
        <v>33.5</v>
      </c>
      <c r="H73" s="18">
        <f t="shared" si="35"/>
        <v>23.45</v>
      </c>
      <c r="I73" s="18">
        <v>0</v>
      </c>
      <c r="J73" s="18">
        <f t="shared" si="36"/>
        <v>-23.45</v>
      </c>
      <c r="K73" s="25">
        <f t="shared" si="37"/>
        <v>0</v>
      </c>
      <c r="L73" s="18">
        <f t="shared" si="38"/>
        <v>10.049999999999999</v>
      </c>
      <c r="M73" s="18">
        <v>0</v>
      </c>
      <c r="N73" s="18">
        <f t="shared" si="39"/>
        <v>-10.049999999999999</v>
      </c>
      <c r="O73" s="25">
        <f t="shared" si="40"/>
        <v>0</v>
      </c>
      <c r="P73" s="18">
        <f t="shared" si="41"/>
        <v>33.5</v>
      </c>
      <c r="Q73" s="18">
        <f t="shared" si="42"/>
        <v>0</v>
      </c>
      <c r="R73" s="18">
        <f t="shared" si="43"/>
        <v>-33.5</v>
      </c>
      <c r="S73" s="25" t="str">
        <f t="shared" si="44"/>
        <v/>
      </c>
      <c r="T73" s="25" t="str">
        <f t="shared" si="45"/>
        <v/>
      </c>
      <c r="U73" s="25" t="str">
        <f t="shared" si="46"/>
        <v/>
      </c>
      <c r="V73" s="25" t="str">
        <f t="shared" si="47"/>
        <v/>
      </c>
      <c r="W73" s="28" t="str">
        <f t="shared" si="48"/>
        <v>Sin horas Fixed</v>
      </c>
      <c r="X73" s="15" t="str">
        <f t="shared" si="49"/>
        <v>Sin horas RET</v>
      </c>
      <c r="Y73" s="15" t="str">
        <f t="shared" si="50"/>
        <v>Revisar ambas líneas</v>
      </c>
      <c r="Z73" s="15" t="s">
        <v>19</v>
      </c>
    </row>
    <row r="74" spans="1:26" x14ac:dyDescent="0.35">
      <c r="A74" s="26" t="s">
        <v>47</v>
      </c>
      <c r="B74" s="15" t="s">
        <v>49</v>
      </c>
      <c r="C74" s="15" t="s">
        <v>5</v>
      </c>
      <c r="D74" s="25">
        <v>1</v>
      </c>
      <c r="E74" s="25">
        <v>0</v>
      </c>
      <c r="F74" s="25">
        <f t="shared" si="34"/>
        <v>0</v>
      </c>
      <c r="G74" s="18">
        <v>176</v>
      </c>
      <c r="H74" s="18">
        <f t="shared" si="35"/>
        <v>176</v>
      </c>
      <c r="I74" s="18">
        <v>185</v>
      </c>
      <c r="J74" s="18">
        <f t="shared" si="36"/>
        <v>9</v>
      </c>
      <c r="K74" s="25">
        <f t="shared" si="37"/>
        <v>1.0511363636363635</v>
      </c>
      <c r="L74" s="18">
        <f t="shared" si="38"/>
        <v>0</v>
      </c>
      <c r="M74" s="18">
        <v>0</v>
      </c>
      <c r="N74" s="18">
        <f t="shared" si="39"/>
        <v>0</v>
      </c>
      <c r="O74" s="25" t="str">
        <f t="shared" si="40"/>
        <v/>
      </c>
      <c r="P74" s="18">
        <f t="shared" si="41"/>
        <v>176</v>
      </c>
      <c r="Q74" s="18">
        <f t="shared" si="42"/>
        <v>185</v>
      </c>
      <c r="R74" s="18">
        <f t="shared" si="43"/>
        <v>9</v>
      </c>
      <c r="S74" s="25">
        <f t="shared" si="44"/>
        <v>1</v>
      </c>
      <c r="T74" s="25">
        <f t="shared" si="45"/>
        <v>0</v>
      </c>
      <c r="U74" s="25">
        <f t="shared" si="46"/>
        <v>0</v>
      </c>
      <c r="V74" s="25">
        <f t="shared" si="47"/>
        <v>0</v>
      </c>
      <c r="W74" s="29" t="str">
        <f t="shared" si="48"/>
        <v>En rango Fixed</v>
      </c>
      <c r="X74" s="15" t="str">
        <f t="shared" si="49"/>
        <v>No aplica RET</v>
      </c>
      <c r="Y74" s="15" t="str">
        <f t="shared" si="50"/>
        <v>En rango ambas líneas</v>
      </c>
      <c r="Z74" s="15" t="s">
        <v>19</v>
      </c>
    </row>
    <row r="75" spans="1:26" x14ac:dyDescent="0.35">
      <c r="A75" s="15" t="s">
        <v>47</v>
      </c>
      <c r="B75" s="15" t="s">
        <v>49</v>
      </c>
      <c r="C75" s="15" t="s">
        <v>6</v>
      </c>
      <c r="D75" s="25">
        <v>0.7</v>
      </c>
      <c r="E75" s="25">
        <v>0.3</v>
      </c>
      <c r="F75" s="25">
        <f t="shared" si="34"/>
        <v>5.5511151231257827E-17</v>
      </c>
      <c r="G75" s="18">
        <v>160</v>
      </c>
      <c r="H75" s="18">
        <f t="shared" si="35"/>
        <v>112</v>
      </c>
      <c r="I75" s="18">
        <v>159</v>
      </c>
      <c r="J75" s="18">
        <f t="shared" si="36"/>
        <v>47</v>
      </c>
      <c r="K75" s="25">
        <f t="shared" si="37"/>
        <v>1.4196428571428572</v>
      </c>
      <c r="L75" s="18">
        <f t="shared" si="38"/>
        <v>48</v>
      </c>
      <c r="M75" s="18">
        <v>0</v>
      </c>
      <c r="N75" s="18">
        <f t="shared" si="39"/>
        <v>-48</v>
      </c>
      <c r="O75" s="25">
        <f t="shared" si="40"/>
        <v>0</v>
      </c>
      <c r="P75" s="18">
        <f t="shared" si="41"/>
        <v>160</v>
      </c>
      <c r="Q75" s="18">
        <f t="shared" si="42"/>
        <v>159</v>
      </c>
      <c r="R75" s="18">
        <f t="shared" si="43"/>
        <v>-1</v>
      </c>
      <c r="S75" s="25">
        <f t="shared" si="44"/>
        <v>1</v>
      </c>
      <c r="T75" s="25">
        <f t="shared" si="45"/>
        <v>0</v>
      </c>
      <c r="U75" s="25">
        <f t="shared" si="46"/>
        <v>0.30000000000000004</v>
      </c>
      <c r="V75" s="25">
        <f t="shared" si="47"/>
        <v>-0.3</v>
      </c>
      <c r="W75" s="28" t="str">
        <f t="shared" si="48"/>
        <v>Desviación Fixed</v>
      </c>
      <c r="X75" s="15" t="str">
        <f t="shared" si="49"/>
        <v>Sin horas RET</v>
      </c>
      <c r="Y75" s="15" t="str">
        <f t="shared" si="50"/>
        <v>Revisar ambas líneas</v>
      </c>
      <c r="Z75" s="15" t="s">
        <v>19</v>
      </c>
    </row>
    <row r="76" spans="1:26" x14ac:dyDescent="0.35">
      <c r="A76" s="26" t="s">
        <v>47</v>
      </c>
      <c r="B76" s="15" t="s">
        <v>49</v>
      </c>
      <c r="C76" s="15" t="s">
        <v>7</v>
      </c>
      <c r="D76" s="25">
        <v>0.7</v>
      </c>
      <c r="E76" s="25">
        <v>0.3</v>
      </c>
      <c r="F76" s="25">
        <f t="shared" si="34"/>
        <v>5.5511151231257827E-17</v>
      </c>
      <c r="G76" s="18">
        <v>33.5</v>
      </c>
      <c r="H76" s="18">
        <f t="shared" si="35"/>
        <v>23.45</v>
      </c>
      <c r="I76" s="18">
        <v>0</v>
      </c>
      <c r="J76" s="18">
        <f t="shared" si="36"/>
        <v>-23.45</v>
      </c>
      <c r="K76" s="25">
        <f t="shared" si="37"/>
        <v>0</v>
      </c>
      <c r="L76" s="18">
        <f t="shared" si="38"/>
        <v>10.049999999999999</v>
      </c>
      <c r="M76" s="18">
        <v>0</v>
      </c>
      <c r="N76" s="18">
        <f t="shared" si="39"/>
        <v>-10.049999999999999</v>
      </c>
      <c r="O76" s="25">
        <f t="shared" si="40"/>
        <v>0</v>
      </c>
      <c r="P76" s="18">
        <f t="shared" si="41"/>
        <v>33.5</v>
      </c>
      <c r="Q76" s="18">
        <f t="shared" si="42"/>
        <v>0</v>
      </c>
      <c r="R76" s="18">
        <f t="shared" si="43"/>
        <v>-33.5</v>
      </c>
      <c r="S76" s="25" t="str">
        <f t="shared" si="44"/>
        <v/>
      </c>
      <c r="T76" s="25" t="str">
        <f t="shared" si="45"/>
        <v/>
      </c>
      <c r="U76" s="25" t="str">
        <f t="shared" si="46"/>
        <v/>
      </c>
      <c r="V76" s="25" t="str">
        <f t="shared" si="47"/>
        <v/>
      </c>
      <c r="W76" s="28" t="str">
        <f t="shared" si="48"/>
        <v>Sin horas Fixed</v>
      </c>
      <c r="X76" s="15" t="str">
        <f t="shared" si="49"/>
        <v>Sin horas RET</v>
      </c>
      <c r="Y76" s="15" t="str">
        <f t="shared" si="50"/>
        <v>Revisar ambas líneas</v>
      </c>
      <c r="Z76" s="15" t="s">
        <v>19</v>
      </c>
    </row>
    <row r="77" spans="1:26" x14ac:dyDescent="0.35">
      <c r="A77" s="15" t="s">
        <v>47</v>
      </c>
      <c r="B77" s="15" t="s">
        <v>50</v>
      </c>
      <c r="C77" s="15" t="s">
        <v>5</v>
      </c>
      <c r="D77" s="25">
        <v>1</v>
      </c>
      <c r="E77" s="25">
        <v>0</v>
      </c>
      <c r="F77" s="25">
        <f t="shared" si="34"/>
        <v>0</v>
      </c>
      <c r="G77" s="18">
        <v>176</v>
      </c>
      <c r="H77" s="18">
        <f t="shared" si="35"/>
        <v>176</v>
      </c>
      <c r="I77" s="18">
        <v>101.5</v>
      </c>
      <c r="J77" s="18">
        <f t="shared" si="36"/>
        <v>-74.5</v>
      </c>
      <c r="K77" s="25">
        <f t="shared" si="37"/>
        <v>0.57670454545454541</v>
      </c>
      <c r="L77" s="18">
        <f t="shared" si="38"/>
        <v>0</v>
      </c>
      <c r="M77" s="18">
        <v>0</v>
      </c>
      <c r="N77" s="18">
        <f t="shared" si="39"/>
        <v>0</v>
      </c>
      <c r="O77" s="25" t="str">
        <f t="shared" si="40"/>
        <v/>
      </c>
      <c r="P77" s="18">
        <f t="shared" si="41"/>
        <v>176</v>
      </c>
      <c r="Q77" s="18">
        <f t="shared" si="42"/>
        <v>101.5</v>
      </c>
      <c r="R77" s="18">
        <f t="shared" si="43"/>
        <v>-74.5</v>
      </c>
      <c r="S77" s="25">
        <f t="shared" si="44"/>
        <v>1</v>
      </c>
      <c r="T77" s="25">
        <f t="shared" si="45"/>
        <v>0</v>
      </c>
      <c r="U77" s="25">
        <f t="shared" si="46"/>
        <v>0</v>
      </c>
      <c r="V77" s="25">
        <f t="shared" si="47"/>
        <v>0</v>
      </c>
      <c r="W77" s="28" t="str">
        <f t="shared" si="48"/>
        <v>Desviación Fixed</v>
      </c>
      <c r="X77" s="15" t="str">
        <f t="shared" si="49"/>
        <v>No aplica RET</v>
      </c>
      <c r="Y77" s="15" t="str">
        <f t="shared" si="50"/>
        <v>Revisar ambas líneas</v>
      </c>
      <c r="Z77" s="15" t="s">
        <v>19</v>
      </c>
    </row>
    <row r="78" spans="1:26" x14ac:dyDescent="0.35">
      <c r="A78" s="26" t="s">
        <v>47</v>
      </c>
      <c r="B78" s="15" t="s">
        <v>50</v>
      </c>
      <c r="C78" s="15" t="s">
        <v>6</v>
      </c>
      <c r="D78" s="25">
        <v>0.7</v>
      </c>
      <c r="E78" s="25">
        <v>0.3</v>
      </c>
      <c r="F78" s="25">
        <f t="shared" si="34"/>
        <v>5.5511151231257827E-17</v>
      </c>
      <c r="G78" s="18">
        <v>160</v>
      </c>
      <c r="H78" s="18">
        <f t="shared" si="35"/>
        <v>112</v>
      </c>
      <c r="I78" s="18">
        <v>88.200000000000017</v>
      </c>
      <c r="J78" s="18">
        <f t="shared" si="36"/>
        <v>-23.799999999999983</v>
      </c>
      <c r="K78" s="25">
        <f t="shared" si="37"/>
        <v>0.7875000000000002</v>
      </c>
      <c r="L78" s="18">
        <f t="shared" si="38"/>
        <v>48</v>
      </c>
      <c r="M78" s="18">
        <v>0</v>
      </c>
      <c r="N78" s="18">
        <f t="shared" si="39"/>
        <v>-48</v>
      </c>
      <c r="O78" s="25">
        <f t="shared" si="40"/>
        <v>0</v>
      </c>
      <c r="P78" s="18">
        <f t="shared" si="41"/>
        <v>160</v>
      </c>
      <c r="Q78" s="18">
        <f t="shared" si="42"/>
        <v>88.200000000000017</v>
      </c>
      <c r="R78" s="18">
        <f t="shared" si="43"/>
        <v>-71.799999999999983</v>
      </c>
      <c r="S78" s="25">
        <f t="shared" si="44"/>
        <v>1</v>
      </c>
      <c r="T78" s="25">
        <f t="shared" si="45"/>
        <v>0</v>
      </c>
      <c r="U78" s="25">
        <f t="shared" si="46"/>
        <v>0.30000000000000004</v>
      </c>
      <c r="V78" s="25">
        <f t="shared" si="47"/>
        <v>-0.3</v>
      </c>
      <c r="W78" s="28" t="str">
        <f t="shared" si="48"/>
        <v>Desviación Fixed</v>
      </c>
      <c r="X78" s="15" t="str">
        <f t="shared" si="49"/>
        <v>Sin horas RET</v>
      </c>
      <c r="Y78" s="15" t="str">
        <f t="shared" si="50"/>
        <v>Revisar ambas líneas</v>
      </c>
      <c r="Z78" s="15" t="s">
        <v>19</v>
      </c>
    </row>
    <row r="79" spans="1:26" x14ac:dyDescent="0.35">
      <c r="A79" s="15" t="s">
        <v>47</v>
      </c>
      <c r="B79" s="15" t="s">
        <v>50</v>
      </c>
      <c r="C79" s="15" t="s">
        <v>7</v>
      </c>
      <c r="D79" s="25">
        <v>0.7</v>
      </c>
      <c r="E79" s="25">
        <v>0.3</v>
      </c>
      <c r="F79" s="25">
        <f t="shared" si="34"/>
        <v>5.5511151231257827E-17</v>
      </c>
      <c r="G79" s="18">
        <v>33.5</v>
      </c>
      <c r="H79" s="18">
        <f t="shared" si="35"/>
        <v>23.45</v>
      </c>
      <c r="I79" s="18">
        <v>16.8</v>
      </c>
      <c r="J79" s="18">
        <f t="shared" si="36"/>
        <v>-6.6499999999999986</v>
      </c>
      <c r="K79" s="25">
        <f t="shared" si="37"/>
        <v>0.71641791044776126</v>
      </c>
      <c r="L79" s="18">
        <f t="shared" si="38"/>
        <v>10.049999999999999</v>
      </c>
      <c r="M79" s="18">
        <v>0</v>
      </c>
      <c r="N79" s="18">
        <f t="shared" si="39"/>
        <v>-10.049999999999999</v>
      </c>
      <c r="O79" s="25">
        <f t="shared" si="40"/>
        <v>0</v>
      </c>
      <c r="P79" s="18">
        <f t="shared" si="41"/>
        <v>33.5</v>
      </c>
      <c r="Q79" s="18">
        <f t="shared" si="42"/>
        <v>16.8</v>
      </c>
      <c r="R79" s="18">
        <f t="shared" si="43"/>
        <v>-16.7</v>
      </c>
      <c r="S79" s="25">
        <f t="shared" si="44"/>
        <v>1</v>
      </c>
      <c r="T79" s="25">
        <f t="shared" si="45"/>
        <v>0</v>
      </c>
      <c r="U79" s="25">
        <f t="shared" si="46"/>
        <v>0.30000000000000004</v>
      </c>
      <c r="V79" s="25">
        <f t="shared" si="47"/>
        <v>-0.3</v>
      </c>
      <c r="W79" s="28" t="str">
        <f t="shared" si="48"/>
        <v>En rango Fixed</v>
      </c>
      <c r="X79" s="15" t="str">
        <f t="shared" si="49"/>
        <v>Sin horas RET</v>
      </c>
      <c r="Y79" s="15" t="str">
        <f t="shared" si="50"/>
        <v>Revisar ambas líneas</v>
      </c>
      <c r="Z79" s="15" t="s">
        <v>19</v>
      </c>
    </row>
    <row r="80" spans="1:26" x14ac:dyDescent="0.35">
      <c r="A80" s="26" t="s">
        <v>47</v>
      </c>
      <c r="B80" s="15" t="s">
        <v>51</v>
      </c>
      <c r="C80" s="15" t="s">
        <v>5</v>
      </c>
      <c r="D80" s="25">
        <v>1</v>
      </c>
      <c r="E80" s="25">
        <v>0</v>
      </c>
      <c r="F80" s="25">
        <f t="shared" si="34"/>
        <v>0</v>
      </c>
      <c r="G80" s="18">
        <v>176</v>
      </c>
      <c r="H80" s="18">
        <f t="shared" si="35"/>
        <v>176</v>
      </c>
      <c r="I80" s="18">
        <v>92.5</v>
      </c>
      <c r="J80" s="18">
        <f t="shared" si="36"/>
        <v>-83.5</v>
      </c>
      <c r="K80" s="25">
        <f t="shared" si="37"/>
        <v>0.52556818181818177</v>
      </c>
      <c r="L80" s="18">
        <f t="shared" si="38"/>
        <v>0</v>
      </c>
      <c r="M80" s="18">
        <v>0</v>
      </c>
      <c r="N80" s="18">
        <f t="shared" si="39"/>
        <v>0</v>
      </c>
      <c r="O80" s="25" t="str">
        <f t="shared" si="40"/>
        <v/>
      </c>
      <c r="P80" s="18">
        <f t="shared" si="41"/>
        <v>176</v>
      </c>
      <c r="Q80" s="18">
        <f t="shared" si="42"/>
        <v>92.5</v>
      </c>
      <c r="R80" s="18">
        <f t="shared" si="43"/>
        <v>-83.5</v>
      </c>
      <c r="S80" s="25">
        <f t="shared" si="44"/>
        <v>1</v>
      </c>
      <c r="T80" s="25">
        <f t="shared" si="45"/>
        <v>0</v>
      </c>
      <c r="U80" s="25">
        <f t="shared" si="46"/>
        <v>0</v>
      </c>
      <c r="V80" s="25">
        <f t="shared" si="47"/>
        <v>0</v>
      </c>
      <c r="W80" s="28" t="str">
        <f t="shared" si="48"/>
        <v>Desviación Fixed</v>
      </c>
      <c r="X80" s="15" t="str">
        <f t="shared" si="49"/>
        <v>No aplica RET</v>
      </c>
      <c r="Y80" s="15" t="str">
        <f t="shared" si="50"/>
        <v>Revisar ambas líneas</v>
      </c>
      <c r="Z80" s="15" t="s">
        <v>19</v>
      </c>
    </row>
    <row r="81" spans="1:26" x14ac:dyDescent="0.35">
      <c r="A81" s="15" t="s">
        <v>47</v>
      </c>
      <c r="B81" s="15" t="s">
        <v>51</v>
      </c>
      <c r="C81" s="15" t="s">
        <v>6</v>
      </c>
      <c r="D81" s="25">
        <v>0.7</v>
      </c>
      <c r="E81" s="25">
        <v>0.3</v>
      </c>
      <c r="F81" s="25">
        <f t="shared" si="34"/>
        <v>5.5511151231257827E-17</v>
      </c>
      <c r="G81" s="18">
        <v>160</v>
      </c>
      <c r="H81" s="18">
        <f t="shared" si="35"/>
        <v>112</v>
      </c>
      <c r="I81" s="18">
        <v>83.5</v>
      </c>
      <c r="J81" s="18">
        <f t="shared" si="36"/>
        <v>-28.5</v>
      </c>
      <c r="K81" s="25">
        <f t="shared" si="37"/>
        <v>0.7455357142857143</v>
      </c>
      <c r="L81" s="18">
        <f t="shared" si="38"/>
        <v>48</v>
      </c>
      <c r="M81" s="18">
        <v>0</v>
      </c>
      <c r="N81" s="18">
        <f t="shared" si="39"/>
        <v>-48</v>
      </c>
      <c r="O81" s="25">
        <f t="shared" si="40"/>
        <v>0</v>
      </c>
      <c r="P81" s="18">
        <f t="shared" si="41"/>
        <v>160</v>
      </c>
      <c r="Q81" s="18">
        <f t="shared" si="42"/>
        <v>83.5</v>
      </c>
      <c r="R81" s="18">
        <f t="shared" si="43"/>
        <v>-76.5</v>
      </c>
      <c r="S81" s="25">
        <f t="shared" si="44"/>
        <v>1</v>
      </c>
      <c r="T81" s="25">
        <f t="shared" si="45"/>
        <v>0</v>
      </c>
      <c r="U81" s="25">
        <f t="shared" si="46"/>
        <v>0.30000000000000004</v>
      </c>
      <c r="V81" s="25">
        <f t="shared" si="47"/>
        <v>-0.3</v>
      </c>
      <c r="W81" s="28" t="str">
        <f t="shared" si="48"/>
        <v>Desviación Fixed</v>
      </c>
      <c r="X81" s="15" t="str">
        <f t="shared" si="49"/>
        <v>Sin horas RET</v>
      </c>
      <c r="Y81" s="15" t="str">
        <f t="shared" si="50"/>
        <v>Revisar ambas líneas</v>
      </c>
      <c r="Z81" s="15" t="s">
        <v>19</v>
      </c>
    </row>
    <row r="82" spans="1:26" x14ac:dyDescent="0.35">
      <c r="A82" s="26" t="s">
        <v>47</v>
      </c>
      <c r="B82" s="15" t="s">
        <v>51</v>
      </c>
      <c r="C82" s="15" t="s">
        <v>7</v>
      </c>
      <c r="D82" s="25">
        <v>0.7</v>
      </c>
      <c r="E82" s="25">
        <v>0.3</v>
      </c>
      <c r="F82" s="25">
        <f t="shared" si="34"/>
        <v>5.5511151231257827E-17</v>
      </c>
      <c r="G82" s="18">
        <v>33.5</v>
      </c>
      <c r="H82" s="18">
        <f t="shared" si="35"/>
        <v>23.45</v>
      </c>
      <c r="I82" s="18">
        <v>0</v>
      </c>
      <c r="J82" s="18">
        <f t="shared" si="36"/>
        <v>-23.45</v>
      </c>
      <c r="K82" s="25">
        <f t="shared" si="37"/>
        <v>0</v>
      </c>
      <c r="L82" s="18">
        <f t="shared" si="38"/>
        <v>10.049999999999999</v>
      </c>
      <c r="M82" s="18">
        <v>0</v>
      </c>
      <c r="N82" s="18">
        <f t="shared" si="39"/>
        <v>-10.049999999999999</v>
      </c>
      <c r="O82" s="25">
        <f t="shared" si="40"/>
        <v>0</v>
      </c>
      <c r="P82" s="18">
        <f t="shared" si="41"/>
        <v>33.5</v>
      </c>
      <c r="Q82" s="18">
        <f t="shared" si="42"/>
        <v>0</v>
      </c>
      <c r="R82" s="18">
        <f t="shared" si="43"/>
        <v>-33.5</v>
      </c>
      <c r="S82" s="25" t="str">
        <f t="shared" si="44"/>
        <v/>
      </c>
      <c r="T82" s="25" t="str">
        <f t="shared" si="45"/>
        <v/>
      </c>
      <c r="U82" s="25" t="str">
        <f t="shared" si="46"/>
        <v/>
      </c>
      <c r="V82" s="25" t="str">
        <f t="shared" si="47"/>
        <v/>
      </c>
      <c r="W82" s="28" t="str">
        <f t="shared" si="48"/>
        <v>Sin horas Fixed</v>
      </c>
      <c r="X82" s="15" t="str">
        <f t="shared" si="49"/>
        <v>Sin horas RET</v>
      </c>
      <c r="Y82" s="15" t="str">
        <f t="shared" si="50"/>
        <v>Revisar ambas líneas</v>
      </c>
      <c r="Z82" s="15" t="s">
        <v>19</v>
      </c>
    </row>
    <row r="83" spans="1:26" x14ac:dyDescent="0.35">
      <c r="A83" s="15" t="s">
        <v>52</v>
      </c>
      <c r="B83" s="15" t="s">
        <v>53</v>
      </c>
      <c r="C83" s="15" t="s">
        <v>5</v>
      </c>
      <c r="D83" s="25">
        <v>1</v>
      </c>
      <c r="E83" s="25">
        <v>0</v>
      </c>
      <c r="F83" s="25">
        <f t="shared" si="34"/>
        <v>0</v>
      </c>
      <c r="G83" s="18">
        <v>176</v>
      </c>
      <c r="H83" s="18">
        <f t="shared" si="35"/>
        <v>176</v>
      </c>
      <c r="I83" s="18">
        <v>180.5</v>
      </c>
      <c r="J83" s="18">
        <f t="shared" si="36"/>
        <v>4.5</v>
      </c>
      <c r="K83" s="25">
        <f t="shared" si="37"/>
        <v>1.0255681818181819</v>
      </c>
      <c r="L83" s="18">
        <f t="shared" si="38"/>
        <v>0</v>
      </c>
      <c r="M83" s="18">
        <v>0</v>
      </c>
      <c r="N83" s="18">
        <f t="shared" si="39"/>
        <v>0</v>
      </c>
      <c r="O83" s="25" t="str">
        <f t="shared" si="40"/>
        <v/>
      </c>
      <c r="P83" s="18">
        <f t="shared" si="41"/>
        <v>176</v>
      </c>
      <c r="Q83" s="18">
        <f t="shared" si="42"/>
        <v>180.5</v>
      </c>
      <c r="R83" s="18">
        <f t="shared" si="43"/>
        <v>4.5</v>
      </c>
      <c r="S83" s="25">
        <f t="shared" si="44"/>
        <v>1</v>
      </c>
      <c r="T83" s="25">
        <f t="shared" si="45"/>
        <v>0</v>
      </c>
      <c r="U83" s="25">
        <f t="shared" si="46"/>
        <v>0</v>
      </c>
      <c r="V83" s="25">
        <f t="shared" si="47"/>
        <v>0</v>
      </c>
      <c r="W83" s="29" t="str">
        <f t="shared" si="48"/>
        <v>En rango Fixed</v>
      </c>
      <c r="X83" s="15" t="str">
        <f t="shared" si="49"/>
        <v>No aplica RET</v>
      </c>
      <c r="Y83" s="15" t="str">
        <f t="shared" si="50"/>
        <v>En rango ambas líneas</v>
      </c>
      <c r="Z83" s="15" t="s">
        <v>19</v>
      </c>
    </row>
    <row r="84" spans="1:26" x14ac:dyDescent="0.35">
      <c r="A84" s="26" t="s">
        <v>52</v>
      </c>
      <c r="B84" s="15" t="s">
        <v>53</v>
      </c>
      <c r="C84" s="15" t="s">
        <v>6</v>
      </c>
      <c r="D84" s="25">
        <v>1</v>
      </c>
      <c r="E84" s="25">
        <v>0</v>
      </c>
      <c r="F84" s="25">
        <f t="shared" si="34"/>
        <v>0</v>
      </c>
      <c r="G84" s="18">
        <v>160</v>
      </c>
      <c r="H84" s="18">
        <f t="shared" si="35"/>
        <v>160</v>
      </c>
      <c r="I84" s="18">
        <v>160</v>
      </c>
      <c r="J84" s="18">
        <f t="shared" si="36"/>
        <v>0</v>
      </c>
      <c r="K84" s="25">
        <f t="shared" si="37"/>
        <v>1</v>
      </c>
      <c r="L84" s="18">
        <f t="shared" si="38"/>
        <v>0</v>
      </c>
      <c r="M84" s="18">
        <v>0</v>
      </c>
      <c r="N84" s="18">
        <f t="shared" si="39"/>
        <v>0</v>
      </c>
      <c r="O84" s="25" t="str">
        <f t="shared" si="40"/>
        <v/>
      </c>
      <c r="P84" s="18">
        <f t="shared" si="41"/>
        <v>160</v>
      </c>
      <c r="Q84" s="18">
        <f t="shared" si="42"/>
        <v>160</v>
      </c>
      <c r="R84" s="18">
        <f t="shared" si="43"/>
        <v>0</v>
      </c>
      <c r="S84" s="25">
        <f t="shared" si="44"/>
        <v>1</v>
      </c>
      <c r="T84" s="25">
        <f t="shared" si="45"/>
        <v>0</v>
      </c>
      <c r="U84" s="25">
        <f t="shared" si="46"/>
        <v>0</v>
      </c>
      <c r="V84" s="25">
        <f t="shared" si="47"/>
        <v>0</v>
      </c>
      <c r="W84" s="29" t="str">
        <f t="shared" si="48"/>
        <v>En rango Fixed</v>
      </c>
      <c r="X84" s="15" t="str">
        <f t="shared" si="49"/>
        <v>No aplica RET</v>
      </c>
      <c r="Y84" s="15" t="str">
        <f t="shared" si="50"/>
        <v>En rango ambas líneas</v>
      </c>
      <c r="Z84" s="15" t="s">
        <v>19</v>
      </c>
    </row>
    <row r="85" spans="1:26" x14ac:dyDescent="0.35">
      <c r="A85" s="15" t="s">
        <v>52</v>
      </c>
      <c r="B85" s="15" t="s">
        <v>53</v>
      </c>
      <c r="C85" s="15" t="s">
        <v>7</v>
      </c>
      <c r="D85" s="25">
        <v>1</v>
      </c>
      <c r="E85" s="25">
        <v>0</v>
      </c>
      <c r="F85" s="25">
        <f t="shared" si="34"/>
        <v>0</v>
      </c>
      <c r="G85" s="18">
        <v>33.5</v>
      </c>
      <c r="H85" s="18">
        <f t="shared" si="35"/>
        <v>33.5</v>
      </c>
      <c r="I85" s="18">
        <v>0</v>
      </c>
      <c r="J85" s="18">
        <f t="shared" si="36"/>
        <v>-33.5</v>
      </c>
      <c r="K85" s="25">
        <f t="shared" si="37"/>
        <v>0</v>
      </c>
      <c r="L85" s="18">
        <f t="shared" si="38"/>
        <v>0</v>
      </c>
      <c r="M85" s="18">
        <v>0</v>
      </c>
      <c r="N85" s="18">
        <f t="shared" si="39"/>
        <v>0</v>
      </c>
      <c r="O85" s="25" t="str">
        <f t="shared" si="40"/>
        <v/>
      </c>
      <c r="P85" s="18">
        <f t="shared" si="41"/>
        <v>33.5</v>
      </c>
      <c r="Q85" s="18">
        <f t="shared" si="42"/>
        <v>0</v>
      </c>
      <c r="R85" s="18">
        <f t="shared" si="43"/>
        <v>-33.5</v>
      </c>
      <c r="S85" s="25" t="str">
        <f t="shared" si="44"/>
        <v/>
      </c>
      <c r="T85" s="25" t="str">
        <f t="shared" si="45"/>
        <v/>
      </c>
      <c r="U85" s="25" t="str">
        <f t="shared" si="46"/>
        <v/>
      </c>
      <c r="V85" s="25" t="str">
        <f t="shared" si="47"/>
        <v/>
      </c>
      <c r="W85" s="28" t="str">
        <f t="shared" si="48"/>
        <v>Sin horas Fixed</v>
      </c>
      <c r="X85" s="15" t="str">
        <f t="shared" si="49"/>
        <v>No aplica RET</v>
      </c>
      <c r="Y85" s="15" t="str">
        <f t="shared" si="50"/>
        <v>Revisar ambas líneas</v>
      </c>
      <c r="Z85" s="15" t="s">
        <v>19</v>
      </c>
    </row>
    <row r="86" spans="1:26" x14ac:dyDescent="0.35">
      <c r="A86" s="26" t="s">
        <v>52</v>
      </c>
      <c r="B86" s="15" t="s">
        <v>54</v>
      </c>
      <c r="C86" s="15" t="s">
        <v>5</v>
      </c>
      <c r="D86" s="25">
        <v>1</v>
      </c>
      <c r="E86" s="25">
        <v>0</v>
      </c>
      <c r="F86" s="25">
        <f t="shared" si="34"/>
        <v>0</v>
      </c>
      <c r="G86" s="18">
        <v>176</v>
      </c>
      <c r="H86" s="18">
        <f t="shared" si="35"/>
        <v>176</v>
      </c>
      <c r="I86" s="18">
        <v>157.5</v>
      </c>
      <c r="J86" s="18">
        <f t="shared" si="36"/>
        <v>-18.5</v>
      </c>
      <c r="K86" s="25">
        <f t="shared" si="37"/>
        <v>0.89488636363636365</v>
      </c>
      <c r="L86" s="18">
        <f t="shared" si="38"/>
        <v>0</v>
      </c>
      <c r="M86" s="18">
        <v>0</v>
      </c>
      <c r="N86" s="18">
        <f t="shared" si="39"/>
        <v>0</v>
      </c>
      <c r="O86" s="25" t="str">
        <f t="shared" si="40"/>
        <v/>
      </c>
      <c r="P86" s="18">
        <f t="shared" si="41"/>
        <v>176</v>
      </c>
      <c r="Q86" s="18">
        <f t="shared" si="42"/>
        <v>157.5</v>
      </c>
      <c r="R86" s="18">
        <f t="shared" si="43"/>
        <v>-18.5</v>
      </c>
      <c r="S86" s="25">
        <f t="shared" si="44"/>
        <v>1</v>
      </c>
      <c r="T86" s="25">
        <f t="shared" si="45"/>
        <v>0</v>
      </c>
      <c r="U86" s="25">
        <f t="shared" si="46"/>
        <v>0</v>
      </c>
      <c r="V86" s="25">
        <f t="shared" si="47"/>
        <v>0</v>
      </c>
      <c r="W86" s="28" t="str">
        <f t="shared" si="48"/>
        <v>Desviación Fixed</v>
      </c>
      <c r="X86" s="15" t="str">
        <f t="shared" si="49"/>
        <v>No aplica RET</v>
      </c>
      <c r="Y86" s="15" t="str">
        <f t="shared" si="50"/>
        <v>Revisar ambas líneas</v>
      </c>
      <c r="Z86" s="15" t="s">
        <v>19</v>
      </c>
    </row>
    <row r="87" spans="1:26" x14ac:dyDescent="0.35">
      <c r="A87" s="15" t="s">
        <v>52</v>
      </c>
      <c r="B87" s="15" t="s">
        <v>54</v>
      </c>
      <c r="C87" s="15" t="s">
        <v>6</v>
      </c>
      <c r="D87" s="25">
        <v>1</v>
      </c>
      <c r="E87" s="25">
        <v>0</v>
      </c>
      <c r="F87" s="25">
        <f t="shared" si="34"/>
        <v>0</v>
      </c>
      <c r="G87" s="18">
        <v>160</v>
      </c>
      <c r="H87" s="18">
        <f t="shared" si="35"/>
        <v>160</v>
      </c>
      <c r="I87" s="18">
        <v>168.5</v>
      </c>
      <c r="J87" s="18">
        <f t="shared" si="36"/>
        <v>8.5</v>
      </c>
      <c r="K87" s="25">
        <f t="shared" si="37"/>
        <v>1.0531250000000001</v>
      </c>
      <c r="L87" s="18">
        <f t="shared" si="38"/>
        <v>0</v>
      </c>
      <c r="M87" s="18">
        <v>0</v>
      </c>
      <c r="N87" s="18">
        <f t="shared" si="39"/>
        <v>0</v>
      </c>
      <c r="O87" s="25" t="str">
        <f t="shared" si="40"/>
        <v/>
      </c>
      <c r="P87" s="18">
        <f t="shared" si="41"/>
        <v>160</v>
      </c>
      <c r="Q87" s="18">
        <f t="shared" si="42"/>
        <v>168.5</v>
      </c>
      <c r="R87" s="18">
        <f t="shared" si="43"/>
        <v>8.5</v>
      </c>
      <c r="S87" s="25">
        <f t="shared" si="44"/>
        <v>1</v>
      </c>
      <c r="T87" s="25">
        <f t="shared" si="45"/>
        <v>0</v>
      </c>
      <c r="U87" s="25">
        <f t="shared" si="46"/>
        <v>0</v>
      </c>
      <c r="V87" s="25">
        <f t="shared" si="47"/>
        <v>0</v>
      </c>
      <c r="W87" s="29" t="str">
        <f t="shared" si="48"/>
        <v>En rango Fixed</v>
      </c>
      <c r="X87" s="15" t="str">
        <f t="shared" si="49"/>
        <v>No aplica RET</v>
      </c>
      <c r="Y87" s="15" t="str">
        <f t="shared" si="50"/>
        <v>En rango ambas líneas</v>
      </c>
      <c r="Z87" s="15" t="s">
        <v>19</v>
      </c>
    </row>
    <row r="88" spans="1:26" x14ac:dyDescent="0.35">
      <c r="A88" s="26" t="s">
        <v>52</v>
      </c>
      <c r="B88" s="15" t="s">
        <v>54</v>
      </c>
      <c r="C88" s="15" t="s">
        <v>7</v>
      </c>
      <c r="D88" s="25">
        <v>1</v>
      </c>
      <c r="E88" s="25">
        <v>0</v>
      </c>
      <c r="F88" s="25">
        <f t="shared" si="34"/>
        <v>0</v>
      </c>
      <c r="G88" s="18">
        <v>33.5</v>
      </c>
      <c r="H88" s="18">
        <f t="shared" si="35"/>
        <v>33.5</v>
      </c>
      <c r="I88" s="18">
        <v>20.5</v>
      </c>
      <c r="J88" s="18">
        <f t="shared" si="36"/>
        <v>-13</v>
      </c>
      <c r="K88" s="25">
        <f t="shared" si="37"/>
        <v>0.61194029850746268</v>
      </c>
      <c r="L88" s="18">
        <f t="shared" si="38"/>
        <v>0</v>
      </c>
      <c r="M88" s="18">
        <v>0</v>
      </c>
      <c r="N88" s="18">
        <f t="shared" si="39"/>
        <v>0</v>
      </c>
      <c r="O88" s="25" t="str">
        <f t="shared" si="40"/>
        <v/>
      </c>
      <c r="P88" s="18">
        <f t="shared" si="41"/>
        <v>33.5</v>
      </c>
      <c r="Q88" s="18">
        <f t="shared" si="42"/>
        <v>20.5</v>
      </c>
      <c r="R88" s="18">
        <f t="shared" si="43"/>
        <v>-13</v>
      </c>
      <c r="S88" s="25">
        <f t="shared" si="44"/>
        <v>1</v>
      </c>
      <c r="T88" s="25">
        <f t="shared" si="45"/>
        <v>0</v>
      </c>
      <c r="U88" s="25">
        <f t="shared" si="46"/>
        <v>0</v>
      </c>
      <c r="V88" s="25">
        <f t="shared" si="47"/>
        <v>0</v>
      </c>
      <c r="W88" s="28" t="str">
        <f t="shared" si="48"/>
        <v>Desviación Fixed</v>
      </c>
      <c r="X88" s="15" t="str">
        <f t="shared" si="49"/>
        <v>No aplica RET</v>
      </c>
      <c r="Y88" s="15" t="str">
        <f t="shared" si="50"/>
        <v>Revisar ambas líneas</v>
      </c>
      <c r="Z88" s="15" t="s">
        <v>19</v>
      </c>
    </row>
    <row r="89" spans="1:26" x14ac:dyDescent="0.35">
      <c r="A89" s="15" t="s">
        <v>52</v>
      </c>
      <c r="B89" s="15" t="s">
        <v>55</v>
      </c>
      <c r="C89" s="15" t="s">
        <v>5</v>
      </c>
      <c r="D89" s="25">
        <v>1</v>
      </c>
      <c r="E89" s="25">
        <v>0</v>
      </c>
      <c r="F89" s="25">
        <f t="shared" si="34"/>
        <v>0</v>
      </c>
      <c r="G89" s="18">
        <v>176</v>
      </c>
      <c r="H89" s="18">
        <f t="shared" si="35"/>
        <v>176</v>
      </c>
      <c r="I89" s="18">
        <v>101</v>
      </c>
      <c r="J89" s="18">
        <f t="shared" si="36"/>
        <v>-75</v>
      </c>
      <c r="K89" s="25">
        <f t="shared" si="37"/>
        <v>0.57386363636363635</v>
      </c>
      <c r="L89" s="18">
        <f t="shared" si="38"/>
        <v>0</v>
      </c>
      <c r="M89" s="18">
        <v>0</v>
      </c>
      <c r="N89" s="18">
        <f t="shared" si="39"/>
        <v>0</v>
      </c>
      <c r="O89" s="25" t="str">
        <f t="shared" si="40"/>
        <v/>
      </c>
      <c r="P89" s="18">
        <f t="shared" si="41"/>
        <v>176</v>
      </c>
      <c r="Q89" s="18">
        <f t="shared" si="42"/>
        <v>101</v>
      </c>
      <c r="R89" s="18">
        <f t="shared" si="43"/>
        <v>-75</v>
      </c>
      <c r="S89" s="25">
        <f t="shared" si="44"/>
        <v>1</v>
      </c>
      <c r="T89" s="25">
        <f t="shared" si="45"/>
        <v>0</v>
      </c>
      <c r="U89" s="25">
        <f t="shared" si="46"/>
        <v>0</v>
      </c>
      <c r="V89" s="25">
        <f t="shared" si="47"/>
        <v>0</v>
      </c>
      <c r="W89" s="28" t="str">
        <f t="shared" si="48"/>
        <v>Desviación Fixed</v>
      </c>
      <c r="X89" s="15" t="str">
        <f t="shared" si="49"/>
        <v>No aplica RET</v>
      </c>
      <c r="Y89" s="15" t="str">
        <f t="shared" si="50"/>
        <v>Revisar ambas líneas</v>
      </c>
      <c r="Z89" s="15" t="s">
        <v>19</v>
      </c>
    </row>
    <row r="90" spans="1:26" x14ac:dyDescent="0.35">
      <c r="A90" s="26" t="s">
        <v>52</v>
      </c>
      <c r="B90" s="15" t="s">
        <v>55</v>
      </c>
      <c r="C90" s="15" t="s">
        <v>6</v>
      </c>
      <c r="D90" s="25">
        <v>1</v>
      </c>
      <c r="E90" s="25">
        <v>0</v>
      </c>
      <c r="F90" s="25">
        <f t="shared" si="34"/>
        <v>0</v>
      </c>
      <c r="G90" s="18">
        <v>160</v>
      </c>
      <c r="H90" s="18">
        <f t="shared" si="35"/>
        <v>160</v>
      </c>
      <c r="I90" s="18">
        <v>86</v>
      </c>
      <c r="J90" s="18">
        <f t="shared" si="36"/>
        <v>-74</v>
      </c>
      <c r="K90" s="25">
        <f t="shared" si="37"/>
        <v>0.53749999999999998</v>
      </c>
      <c r="L90" s="18">
        <f t="shared" si="38"/>
        <v>0</v>
      </c>
      <c r="M90" s="18">
        <v>0</v>
      </c>
      <c r="N90" s="18">
        <f t="shared" si="39"/>
        <v>0</v>
      </c>
      <c r="O90" s="25" t="str">
        <f t="shared" si="40"/>
        <v/>
      </c>
      <c r="P90" s="18">
        <f t="shared" si="41"/>
        <v>160</v>
      </c>
      <c r="Q90" s="18">
        <f t="shared" si="42"/>
        <v>86</v>
      </c>
      <c r="R90" s="18">
        <f t="shared" si="43"/>
        <v>-74</v>
      </c>
      <c r="S90" s="25">
        <f t="shared" si="44"/>
        <v>1</v>
      </c>
      <c r="T90" s="25">
        <f t="shared" si="45"/>
        <v>0</v>
      </c>
      <c r="U90" s="25">
        <f t="shared" si="46"/>
        <v>0</v>
      </c>
      <c r="V90" s="25">
        <f t="shared" si="47"/>
        <v>0</v>
      </c>
      <c r="W90" s="28" t="str">
        <f t="shared" si="48"/>
        <v>Desviación Fixed</v>
      </c>
      <c r="X90" s="15" t="str">
        <f t="shared" si="49"/>
        <v>No aplica RET</v>
      </c>
      <c r="Y90" s="15" t="str">
        <f t="shared" si="50"/>
        <v>Revisar ambas líneas</v>
      </c>
      <c r="Z90" s="15" t="s">
        <v>19</v>
      </c>
    </row>
    <row r="91" spans="1:26" x14ac:dyDescent="0.35">
      <c r="A91" s="15" t="s">
        <v>52</v>
      </c>
      <c r="B91" s="15" t="s">
        <v>55</v>
      </c>
      <c r="C91" s="15" t="s">
        <v>7</v>
      </c>
      <c r="D91" s="25">
        <v>1</v>
      </c>
      <c r="E91" s="25">
        <v>0</v>
      </c>
      <c r="F91" s="25">
        <f t="shared" si="34"/>
        <v>0</v>
      </c>
      <c r="G91" s="18">
        <v>33.5</v>
      </c>
      <c r="H91" s="18">
        <f t="shared" si="35"/>
        <v>33.5</v>
      </c>
      <c r="I91" s="18">
        <v>0</v>
      </c>
      <c r="J91" s="18">
        <f t="shared" si="36"/>
        <v>-33.5</v>
      </c>
      <c r="K91" s="25">
        <f t="shared" si="37"/>
        <v>0</v>
      </c>
      <c r="L91" s="18">
        <f t="shared" si="38"/>
        <v>0</v>
      </c>
      <c r="M91" s="18">
        <v>0</v>
      </c>
      <c r="N91" s="18">
        <f t="shared" si="39"/>
        <v>0</v>
      </c>
      <c r="O91" s="25" t="str">
        <f t="shared" si="40"/>
        <v/>
      </c>
      <c r="P91" s="18">
        <f t="shared" si="41"/>
        <v>33.5</v>
      </c>
      <c r="Q91" s="18">
        <f t="shared" si="42"/>
        <v>0</v>
      </c>
      <c r="R91" s="18">
        <f t="shared" si="43"/>
        <v>-33.5</v>
      </c>
      <c r="S91" s="25" t="str">
        <f t="shared" si="44"/>
        <v/>
      </c>
      <c r="T91" s="25" t="str">
        <f t="shared" si="45"/>
        <v/>
      </c>
      <c r="U91" s="25" t="str">
        <f t="shared" si="46"/>
        <v/>
      </c>
      <c r="V91" s="25" t="str">
        <f t="shared" si="47"/>
        <v/>
      </c>
      <c r="W91" s="28" t="str">
        <f t="shared" si="48"/>
        <v>Sin horas Fixed</v>
      </c>
      <c r="X91" s="15" t="str">
        <f t="shared" si="49"/>
        <v>No aplica RET</v>
      </c>
      <c r="Y91" s="15" t="str">
        <f t="shared" si="50"/>
        <v>Revisar ambas líneas</v>
      </c>
      <c r="Z91" s="15" t="s">
        <v>19</v>
      </c>
    </row>
    <row r="92" spans="1:26" x14ac:dyDescent="0.35">
      <c r="A92" s="26" t="s">
        <v>56</v>
      </c>
      <c r="B92" s="15" t="s">
        <v>57</v>
      </c>
      <c r="C92" s="15" t="s">
        <v>5</v>
      </c>
      <c r="D92" s="25">
        <v>1</v>
      </c>
      <c r="E92" s="25">
        <v>0</v>
      </c>
      <c r="F92" s="25">
        <f t="shared" si="34"/>
        <v>0</v>
      </c>
      <c r="G92" s="18">
        <v>176</v>
      </c>
      <c r="H92" s="18">
        <f t="shared" si="35"/>
        <v>176</v>
      </c>
      <c r="I92" s="18">
        <v>0</v>
      </c>
      <c r="J92" s="18">
        <f t="shared" si="36"/>
        <v>-176</v>
      </c>
      <c r="K92" s="25">
        <f t="shared" si="37"/>
        <v>0</v>
      </c>
      <c r="L92" s="18">
        <f t="shared" si="38"/>
        <v>0</v>
      </c>
      <c r="M92" s="18">
        <v>0</v>
      </c>
      <c r="N92" s="18">
        <f t="shared" si="39"/>
        <v>0</v>
      </c>
      <c r="O92" s="25" t="str">
        <f t="shared" si="40"/>
        <v/>
      </c>
      <c r="P92" s="18">
        <f t="shared" si="41"/>
        <v>176</v>
      </c>
      <c r="Q92" s="18">
        <f t="shared" si="42"/>
        <v>0</v>
      </c>
      <c r="R92" s="18">
        <f t="shared" si="43"/>
        <v>-176</v>
      </c>
      <c r="S92" s="25" t="str">
        <f t="shared" si="44"/>
        <v/>
      </c>
      <c r="T92" s="25" t="str">
        <f t="shared" si="45"/>
        <v/>
      </c>
      <c r="U92" s="25" t="str">
        <f t="shared" si="46"/>
        <v/>
      </c>
      <c r="V92" s="25" t="str">
        <f t="shared" si="47"/>
        <v/>
      </c>
      <c r="W92" s="30" t="str">
        <f t="shared" si="48"/>
        <v>Excluido</v>
      </c>
      <c r="X92" s="15" t="str">
        <f t="shared" si="49"/>
        <v>Excluido</v>
      </c>
      <c r="Y92" s="15" t="str">
        <f t="shared" si="50"/>
        <v>Excluido - auditoría/contratista</v>
      </c>
      <c r="Z92" s="15" t="s">
        <v>58</v>
      </c>
    </row>
    <row r="93" spans="1:26" x14ac:dyDescent="0.35">
      <c r="A93" s="15" t="s">
        <v>56</v>
      </c>
      <c r="B93" s="15" t="s">
        <v>57</v>
      </c>
      <c r="C93" s="15" t="s">
        <v>6</v>
      </c>
      <c r="D93" s="25">
        <v>1</v>
      </c>
      <c r="E93" s="25">
        <v>0</v>
      </c>
      <c r="F93" s="25">
        <f t="shared" si="34"/>
        <v>0</v>
      </c>
      <c r="G93" s="18">
        <v>160</v>
      </c>
      <c r="H93" s="18">
        <f t="shared" si="35"/>
        <v>160</v>
      </c>
      <c r="I93" s="18">
        <v>0</v>
      </c>
      <c r="J93" s="18">
        <f t="shared" si="36"/>
        <v>-160</v>
      </c>
      <c r="K93" s="25">
        <f t="shared" si="37"/>
        <v>0</v>
      </c>
      <c r="L93" s="18">
        <f t="shared" si="38"/>
        <v>0</v>
      </c>
      <c r="M93" s="18">
        <v>0</v>
      </c>
      <c r="N93" s="18">
        <f t="shared" si="39"/>
        <v>0</v>
      </c>
      <c r="O93" s="25" t="str">
        <f t="shared" si="40"/>
        <v/>
      </c>
      <c r="P93" s="18">
        <f t="shared" si="41"/>
        <v>160</v>
      </c>
      <c r="Q93" s="18">
        <f t="shared" si="42"/>
        <v>0</v>
      </c>
      <c r="R93" s="18">
        <f t="shared" si="43"/>
        <v>-160</v>
      </c>
      <c r="S93" s="25" t="str">
        <f t="shared" si="44"/>
        <v/>
      </c>
      <c r="T93" s="25" t="str">
        <f t="shared" si="45"/>
        <v/>
      </c>
      <c r="U93" s="25" t="str">
        <f t="shared" si="46"/>
        <v/>
      </c>
      <c r="V93" s="25" t="str">
        <f t="shared" si="47"/>
        <v/>
      </c>
      <c r="W93" s="30" t="str">
        <f t="shared" si="48"/>
        <v>Excluido</v>
      </c>
      <c r="X93" s="15" t="str">
        <f t="shared" si="49"/>
        <v>Excluido</v>
      </c>
      <c r="Y93" s="15" t="str">
        <f t="shared" si="50"/>
        <v>Excluido - auditoría/contratista</v>
      </c>
      <c r="Z93" s="15" t="s">
        <v>58</v>
      </c>
    </row>
    <row r="94" spans="1:26" x14ac:dyDescent="0.35">
      <c r="A94" s="26" t="s">
        <v>56</v>
      </c>
      <c r="B94" s="15" t="s">
        <v>57</v>
      </c>
      <c r="C94" s="15" t="s">
        <v>7</v>
      </c>
      <c r="D94" s="25">
        <v>0</v>
      </c>
      <c r="E94" s="25">
        <v>1</v>
      </c>
      <c r="F94" s="25">
        <f t="shared" si="34"/>
        <v>0</v>
      </c>
      <c r="G94" s="18">
        <v>33.5</v>
      </c>
      <c r="H94" s="18">
        <f t="shared" si="35"/>
        <v>0</v>
      </c>
      <c r="I94" s="18">
        <v>0</v>
      </c>
      <c r="J94" s="18">
        <f t="shared" si="36"/>
        <v>0</v>
      </c>
      <c r="K94" s="25" t="str">
        <f t="shared" si="37"/>
        <v/>
      </c>
      <c r="L94" s="18">
        <f t="shared" si="38"/>
        <v>33.5</v>
      </c>
      <c r="M94" s="18">
        <v>0</v>
      </c>
      <c r="N94" s="18">
        <f t="shared" si="39"/>
        <v>-33.5</v>
      </c>
      <c r="O94" s="25">
        <f t="shared" si="40"/>
        <v>0</v>
      </c>
      <c r="P94" s="18">
        <f t="shared" si="41"/>
        <v>33.5</v>
      </c>
      <c r="Q94" s="18">
        <f t="shared" si="42"/>
        <v>0</v>
      </c>
      <c r="R94" s="18">
        <f t="shared" si="43"/>
        <v>-33.5</v>
      </c>
      <c r="S94" s="25" t="str">
        <f t="shared" si="44"/>
        <v/>
      </c>
      <c r="T94" s="25" t="str">
        <f t="shared" si="45"/>
        <v/>
      </c>
      <c r="U94" s="25" t="str">
        <f t="shared" si="46"/>
        <v/>
      </c>
      <c r="V94" s="25" t="str">
        <f t="shared" si="47"/>
        <v/>
      </c>
      <c r="W94" s="30" t="str">
        <f t="shared" si="48"/>
        <v>Excluido</v>
      </c>
      <c r="X94" s="15" t="str">
        <f t="shared" si="49"/>
        <v>Excluido</v>
      </c>
      <c r="Y94" s="15" t="str">
        <f t="shared" si="50"/>
        <v>Excluido - auditoría/contratista</v>
      </c>
      <c r="Z94" s="15" t="s">
        <v>58</v>
      </c>
    </row>
    <row r="95" spans="1:26" x14ac:dyDescent="0.35">
      <c r="A95" s="15" t="s">
        <v>56</v>
      </c>
      <c r="B95" s="15" t="s">
        <v>59</v>
      </c>
      <c r="C95" s="15" t="s">
        <v>5</v>
      </c>
      <c r="D95" s="25">
        <v>1</v>
      </c>
      <c r="E95" s="25">
        <v>0</v>
      </c>
      <c r="F95" s="25">
        <f t="shared" si="34"/>
        <v>0</v>
      </c>
      <c r="G95" s="18">
        <v>176</v>
      </c>
      <c r="H95" s="18">
        <f t="shared" si="35"/>
        <v>176</v>
      </c>
      <c r="I95" s="18">
        <v>0</v>
      </c>
      <c r="J95" s="18">
        <f t="shared" si="36"/>
        <v>-176</v>
      </c>
      <c r="K95" s="25">
        <f t="shared" si="37"/>
        <v>0</v>
      </c>
      <c r="L95" s="18">
        <f t="shared" si="38"/>
        <v>0</v>
      </c>
      <c r="M95" s="18">
        <v>0</v>
      </c>
      <c r="N95" s="18">
        <f t="shared" si="39"/>
        <v>0</v>
      </c>
      <c r="O95" s="25" t="str">
        <f t="shared" si="40"/>
        <v/>
      </c>
      <c r="P95" s="18">
        <f t="shared" si="41"/>
        <v>176</v>
      </c>
      <c r="Q95" s="18">
        <f t="shared" si="42"/>
        <v>0</v>
      </c>
      <c r="R95" s="18">
        <f t="shared" si="43"/>
        <v>-176</v>
      </c>
      <c r="S95" s="25" t="str">
        <f t="shared" si="44"/>
        <v/>
      </c>
      <c r="T95" s="25" t="str">
        <f t="shared" si="45"/>
        <v/>
      </c>
      <c r="U95" s="25" t="str">
        <f t="shared" si="46"/>
        <v/>
      </c>
      <c r="V95" s="25" t="str">
        <f t="shared" si="47"/>
        <v/>
      </c>
      <c r="W95" s="30" t="str">
        <f t="shared" si="48"/>
        <v>Excluido</v>
      </c>
      <c r="X95" s="15" t="str">
        <f t="shared" si="49"/>
        <v>Excluido</v>
      </c>
      <c r="Y95" s="15" t="str">
        <f t="shared" si="50"/>
        <v>Excluido - auditoría/contratista</v>
      </c>
      <c r="Z95" s="15" t="s">
        <v>58</v>
      </c>
    </row>
    <row r="96" spans="1:26" x14ac:dyDescent="0.35">
      <c r="A96" s="26" t="s">
        <v>56</v>
      </c>
      <c r="B96" s="15" t="s">
        <v>59</v>
      </c>
      <c r="C96" s="15" t="s">
        <v>6</v>
      </c>
      <c r="D96" s="25">
        <v>1</v>
      </c>
      <c r="E96" s="25">
        <v>0</v>
      </c>
      <c r="F96" s="25">
        <f t="shared" si="34"/>
        <v>0</v>
      </c>
      <c r="G96" s="18">
        <v>160</v>
      </c>
      <c r="H96" s="18">
        <f t="shared" si="35"/>
        <v>160</v>
      </c>
      <c r="I96" s="18">
        <v>0</v>
      </c>
      <c r="J96" s="18">
        <f t="shared" si="36"/>
        <v>-160</v>
      </c>
      <c r="K96" s="25">
        <f t="shared" si="37"/>
        <v>0</v>
      </c>
      <c r="L96" s="18">
        <f t="shared" si="38"/>
        <v>0</v>
      </c>
      <c r="M96" s="18">
        <v>0</v>
      </c>
      <c r="N96" s="18">
        <f t="shared" si="39"/>
        <v>0</v>
      </c>
      <c r="O96" s="25" t="str">
        <f t="shared" si="40"/>
        <v/>
      </c>
      <c r="P96" s="18">
        <f t="shared" si="41"/>
        <v>160</v>
      </c>
      <c r="Q96" s="18">
        <f t="shared" si="42"/>
        <v>0</v>
      </c>
      <c r="R96" s="18">
        <f t="shared" si="43"/>
        <v>-160</v>
      </c>
      <c r="S96" s="25" t="str">
        <f t="shared" si="44"/>
        <v/>
      </c>
      <c r="T96" s="25" t="str">
        <f t="shared" si="45"/>
        <v/>
      </c>
      <c r="U96" s="25" t="str">
        <f t="shared" si="46"/>
        <v/>
      </c>
      <c r="V96" s="25" t="str">
        <f t="shared" si="47"/>
        <v/>
      </c>
      <c r="W96" s="30" t="str">
        <f t="shared" si="48"/>
        <v>Excluido</v>
      </c>
      <c r="X96" s="15" t="str">
        <f t="shared" si="49"/>
        <v>Excluido</v>
      </c>
      <c r="Y96" s="15" t="str">
        <f t="shared" si="50"/>
        <v>Excluido - auditoría/contratista</v>
      </c>
      <c r="Z96" s="15" t="s">
        <v>58</v>
      </c>
    </row>
    <row r="97" spans="1:26" x14ac:dyDescent="0.35">
      <c r="A97" s="15" t="s">
        <v>56</v>
      </c>
      <c r="B97" s="15" t="s">
        <v>59</v>
      </c>
      <c r="C97" s="15" t="s">
        <v>7</v>
      </c>
      <c r="D97" s="25">
        <v>1</v>
      </c>
      <c r="E97" s="25">
        <v>0</v>
      </c>
      <c r="F97" s="25">
        <f t="shared" si="34"/>
        <v>0</v>
      </c>
      <c r="G97" s="18">
        <v>33.5</v>
      </c>
      <c r="H97" s="18">
        <f t="shared" si="35"/>
        <v>33.5</v>
      </c>
      <c r="I97" s="18">
        <v>0</v>
      </c>
      <c r="J97" s="18">
        <f t="shared" si="36"/>
        <v>-33.5</v>
      </c>
      <c r="K97" s="25">
        <f t="shared" si="37"/>
        <v>0</v>
      </c>
      <c r="L97" s="18">
        <f t="shared" si="38"/>
        <v>0</v>
      </c>
      <c r="M97" s="18">
        <v>0</v>
      </c>
      <c r="N97" s="18">
        <f t="shared" si="39"/>
        <v>0</v>
      </c>
      <c r="O97" s="25" t="str">
        <f t="shared" si="40"/>
        <v/>
      </c>
      <c r="P97" s="18">
        <f t="shared" si="41"/>
        <v>33.5</v>
      </c>
      <c r="Q97" s="18">
        <f t="shared" si="42"/>
        <v>0</v>
      </c>
      <c r="R97" s="18">
        <f t="shared" si="43"/>
        <v>-33.5</v>
      </c>
      <c r="S97" s="25" t="str">
        <f t="shared" si="44"/>
        <v/>
      </c>
      <c r="T97" s="25" t="str">
        <f t="shared" si="45"/>
        <v/>
      </c>
      <c r="U97" s="25" t="str">
        <f t="shared" si="46"/>
        <v/>
      </c>
      <c r="V97" s="25" t="str">
        <f t="shared" si="47"/>
        <v/>
      </c>
      <c r="W97" s="30" t="str">
        <f t="shared" si="48"/>
        <v>Excluido</v>
      </c>
      <c r="X97" s="15" t="str">
        <f t="shared" si="49"/>
        <v>Excluido</v>
      </c>
      <c r="Y97" s="15" t="str">
        <f t="shared" si="50"/>
        <v>Excluido - auditoría/contratista</v>
      </c>
      <c r="Z97" s="15" t="s">
        <v>58</v>
      </c>
    </row>
    <row r="98" spans="1:26" x14ac:dyDescent="0.35">
      <c r="A98" s="26" t="s">
        <v>56</v>
      </c>
      <c r="B98" s="15" t="s">
        <v>60</v>
      </c>
      <c r="C98" s="15" t="s">
        <v>5</v>
      </c>
      <c r="D98" s="25">
        <v>1</v>
      </c>
      <c r="E98" s="25">
        <v>0</v>
      </c>
      <c r="F98" s="25">
        <f t="shared" si="34"/>
        <v>0</v>
      </c>
      <c r="G98" s="18">
        <v>176</v>
      </c>
      <c r="H98" s="18">
        <f t="shared" si="35"/>
        <v>176</v>
      </c>
      <c r="I98" s="18">
        <v>0</v>
      </c>
      <c r="J98" s="18">
        <f t="shared" si="36"/>
        <v>-176</v>
      </c>
      <c r="K98" s="25">
        <f t="shared" si="37"/>
        <v>0</v>
      </c>
      <c r="L98" s="18">
        <f t="shared" si="38"/>
        <v>0</v>
      </c>
      <c r="M98" s="18">
        <v>0</v>
      </c>
      <c r="N98" s="18">
        <f t="shared" si="39"/>
        <v>0</v>
      </c>
      <c r="O98" s="25" t="str">
        <f t="shared" si="40"/>
        <v/>
      </c>
      <c r="P98" s="18">
        <f t="shared" si="41"/>
        <v>176</v>
      </c>
      <c r="Q98" s="18">
        <f t="shared" si="42"/>
        <v>0</v>
      </c>
      <c r="R98" s="18">
        <f t="shared" si="43"/>
        <v>-176</v>
      </c>
      <c r="S98" s="25" t="str">
        <f t="shared" si="44"/>
        <v/>
      </c>
      <c r="T98" s="25" t="str">
        <f t="shared" si="45"/>
        <v/>
      </c>
      <c r="U98" s="25" t="str">
        <f t="shared" si="46"/>
        <v/>
      </c>
      <c r="V98" s="25" t="str">
        <f t="shared" si="47"/>
        <v/>
      </c>
      <c r="W98" s="30" t="str">
        <f t="shared" si="48"/>
        <v>Excluido</v>
      </c>
      <c r="X98" s="15" t="str">
        <f t="shared" si="49"/>
        <v>Excluido</v>
      </c>
      <c r="Y98" s="15" t="str">
        <f t="shared" si="50"/>
        <v>Excluido - auditoría/contratista</v>
      </c>
      <c r="Z98" s="15" t="s">
        <v>58</v>
      </c>
    </row>
    <row r="99" spans="1:26" x14ac:dyDescent="0.35">
      <c r="A99" s="15" t="s">
        <v>56</v>
      </c>
      <c r="B99" s="15" t="s">
        <v>60</v>
      </c>
      <c r="C99" s="15" t="s">
        <v>6</v>
      </c>
      <c r="D99" s="25">
        <v>1</v>
      </c>
      <c r="E99" s="25">
        <v>0</v>
      </c>
      <c r="F99" s="25">
        <f t="shared" si="34"/>
        <v>0</v>
      </c>
      <c r="G99" s="18">
        <v>160</v>
      </c>
      <c r="H99" s="18">
        <f t="shared" si="35"/>
        <v>160</v>
      </c>
      <c r="I99" s="18">
        <v>0</v>
      </c>
      <c r="J99" s="18">
        <f t="shared" si="36"/>
        <v>-160</v>
      </c>
      <c r="K99" s="25">
        <f t="shared" si="37"/>
        <v>0</v>
      </c>
      <c r="L99" s="18">
        <f t="shared" si="38"/>
        <v>0</v>
      </c>
      <c r="M99" s="18">
        <v>0</v>
      </c>
      <c r="N99" s="18">
        <f t="shared" si="39"/>
        <v>0</v>
      </c>
      <c r="O99" s="25" t="str">
        <f t="shared" si="40"/>
        <v/>
      </c>
      <c r="P99" s="18">
        <f t="shared" si="41"/>
        <v>160</v>
      </c>
      <c r="Q99" s="18">
        <f t="shared" si="42"/>
        <v>0</v>
      </c>
      <c r="R99" s="18">
        <f t="shared" si="43"/>
        <v>-160</v>
      </c>
      <c r="S99" s="25" t="str">
        <f t="shared" si="44"/>
        <v/>
      </c>
      <c r="T99" s="25" t="str">
        <f t="shared" si="45"/>
        <v/>
      </c>
      <c r="U99" s="25" t="str">
        <f t="shared" si="46"/>
        <v/>
      </c>
      <c r="V99" s="25" t="str">
        <f t="shared" si="47"/>
        <v/>
      </c>
      <c r="W99" s="30" t="str">
        <f t="shared" si="48"/>
        <v>Excluido</v>
      </c>
      <c r="X99" s="15" t="str">
        <f t="shared" si="49"/>
        <v>Excluido</v>
      </c>
      <c r="Y99" s="15" t="str">
        <f t="shared" si="50"/>
        <v>Excluido - auditoría/contratista</v>
      </c>
      <c r="Z99" s="15" t="s">
        <v>58</v>
      </c>
    </row>
    <row r="100" spans="1:26" x14ac:dyDescent="0.35">
      <c r="A100" s="26" t="s">
        <v>56</v>
      </c>
      <c r="B100" s="15" t="s">
        <v>60</v>
      </c>
      <c r="C100" s="15" t="s">
        <v>7</v>
      </c>
      <c r="D100" s="25">
        <v>1</v>
      </c>
      <c r="E100" s="25">
        <v>0</v>
      </c>
      <c r="F100" s="25">
        <f t="shared" si="34"/>
        <v>0</v>
      </c>
      <c r="G100" s="18">
        <v>33.5</v>
      </c>
      <c r="H100" s="18">
        <f t="shared" si="35"/>
        <v>33.5</v>
      </c>
      <c r="I100" s="18">
        <v>0</v>
      </c>
      <c r="J100" s="18">
        <f t="shared" si="36"/>
        <v>-33.5</v>
      </c>
      <c r="K100" s="25">
        <f t="shared" si="37"/>
        <v>0</v>
      </c>
      <c r="L100" s="18">
        <f t="shared" si="38"/>
        <v>0</v>
      </c>
      <c r="M100" s="18">
        <v>0</v>
      </c>
      <c r="N100" s="18">
        <f t="shared" si="39"/>
        <v>0</v>
      </c>
      <c r="O100" s="25" t="str">
        <f t="shared" si="40"/>
        <v/>
      </c>
      <c r="P100" s="18">
        <f t="shared" si="41"/>
        <v>33.5</v>
      </c>
      <c r="Q100" s="18">
        <f t="shared" si="42"/>
        <v>0</v>
      </c>
      <c r="R100" s="18">
        <f t="shared" si="43"/>
        <v>-33.5</v>
      </c>
      <c r="S100" s="25" t="str">
        <f t="shared" si="44"/>
        <v/>
      </c>
      <c r="T100" s="25" t="str">
        <f t="shared" si="45"/>
        <v/>
      </c>
      <c r="U100" s="25" t="str">
        <f t="shared" si="46"/>
        <v/>
      </c>
      <c r="V100" s="25" t="str">
        <f t="shared" si="47"/>
        <v/>
      </c>
      <c r="W100" s="30" t="str">
        <f t="shared" si="48"/>
        <v>Excluido</v>
      </c>
      <c r="X100" s="15" t="str">
        <f t="shared" si="49"/>
        <v>Excluido</v>
      </c>
      <c r="Y100" s="15" t="str">
        <f t="shared" si="50"/>
        <v>Excluido - auditoría/contratista</v>
      </c>
      <c r="Z100" s="15" t="s">
        <v>58</v>
      </c>
    </row>
    <row r="101" spans="1:26" x14ac:dyDescent="0.35">
      <c r="A101" s="15" t="s">
        <v>56</v>
      </c>
      <c r="B101" s="15" t="s">
        <v>61</v>
      </c>
      <c r="C101" s="15" t="s">
        <v>5</v>
      </c>
      <c r="D101" s="25">
        <v>1</v>
      </c>
      <c r="E101" s="25">
        <v>0</v>
      </c>
      <c r="F101" s="25">
        <f t="shared" ref="F101:F106" si="51">MAX(0,1-D101-E101)</f>
        <v>0</v>
      </c>
      <c r="G101" s="18">
        <v>176</v>
      </c>
      <c r="H101" s="18">
        <f t="shared" ref="H101:H106" si="52">D101*G101</f>
        <v>176</v>
      </c>
      <c r="I101" s="18">
        <v>0</v>
      </c>
      <c r="J101" s="18">
        <f t="shared" ref="J101:J106" si="53">I101-H101</f>
        <v>-176</v>
      </c>
      <c r="K101" s="25">
        <f t="shared" ref="K101:K106" si="54">IF(H101=0,"",I101/H101)</f>
        <v>0</v>
      </c>
      <c r="L101" s="18">
        <f t="shared" ref="L101:L106" si="55">E101*G101</f>
        <v>0</v>
      </c>
      <c r="M101" s="18">
        <v>0</v>
      </c>
      <c r="N101" s="18">
        <f t="shared" ref="N101:N106" si="56">M101-L101</f>
        <v>0</v>
      </c>
      <c r="O101" s="25" t="str">
        <f t="shared" ref="O101:O106" si="57">IF(L101=0,"",M101/L101)</f>
        <v/>
      </c>
      <c r="P101" s="18">
        <f t="shared" ref="P101:P106" si="58">H101+L101</f>
        <v>176</v>
      </c>
      <c r="Q101" s="18">
        <f t="shared" ref="Q101:Q106" si="59">I101+M101</f>
        <v>0</v>
      </c>
      <c r="R101" s="18">
        <f t="shared" ref="R101:R106" si="60">Q101-P101</f>
        <v>-176</v>
      </c>
      <c r="S101" s="25" t="str">
        <f t="shared" ref="S101:S106" si="61">IF(Q101=0,"",I101/Q101)</f>
        <v/>
      </c>
      <c r="T101" s="25" t="str">
        <f t="shared" ref="T101:T106" si="62">IF(Q101=0,"",M101/Q101)</f>
        <v/>
      </c>
      <c r="U101" s="25" t="str">
        <f t="shared" ref="U101:U106" si="63">IF(S101="","",S101-D101)</f>
        <v/>
      </c>
      <c r="V101" s="25" t="str">
        <f t="shared" ref="V101:V106" si="64">IF(T101="","",T101-E101)</f>
        <v/>
      </c>
      <c r="W101" s="30" t="str">
        <f t="shared" ref="W101:W106" si="65">IF(Z101="Sí","Excluido",IF(AND(D101=0,I101=0),"No aplica Fixed",IF(AND(D101=0,I101&gt;0),"Carga no planeada Fixed",IF(AND(D101&gt;0,I101=0),"Sin horas Fixed",IF(ABS(J101)&gt;MAX(8,H101*10%),"Desviación Fixed","En rango Fixed")))))</f>
        <v>Excluido</v>
      </c>
      <c r="X101" s="15" t="str">
        <f t="shared" ref="X101:X106" si="66">IF(Z101="Sí","Excluido",IF(AND(E101=0,M101=0),"No aplica RET",IF(AND(E101=0,M101&gt;0),"Carga no planeada RET",IF(AND(E101&gt;0,M101=0),"Sin horas RET",IF(ABS(N101)&gt;MAX(8,L101*10%),"Desviación RET","En rango RET")))))</f>
        <v>Excluido</v>
      </c>
      <c r="Y101" s="15" t="str">
        <f t="shared" ref="Y101:Y106" si="67">IF(Z101="Sí","Excluido - auditoría/contratista",IF(OR(ISNUMBER(SEARCH("Carga",W101)),ISNUMBER(SEARCH("Sin horas",W101)),ISNUMBER(SEARCH("Desviación",W101)),ISNUMBER(SEARCH("Carga",X101)),ISNUMBER(SEARCH("Sin horas",X101)),ISNUMBER(SEARCH("Desviación",X101))),"Revisar ambas líneas",IF(ABS(R101)&gt;MAX(8,P101*10%),"Desviación total",IF(F101&gt;0,"En rango - plan parcial","En rango ambas líneas"))))</f>
        <v>Excluido - auditoría/contratista</v>
      </c>
      <c r="Z101" s="15" t="s">
        <v>58</v>
      </c>
    </row>
    <row r="102" spans="1:26" x14ac:dyDescent="0.35">
      <c r="A102" s="26" t="s">
        <v>56</v>
      </c>
      <c r="B102" s="15" t="s">
        <v>61</v>
      </c>
      <c r="C102" s="15" t="s">
        <v>6</v>
      </c>
      <c r="D102" s="25">
        <v>1</v>
      </c>
      <c r="E102" s="25">
        <v>0</v>
      </c>
      <c r="F102" s="25">
        <f t="shared" si="51"/>
        <v>0</v>
      </c>
      <c r="G102" s="18">
        <v>160</v>
      </c>
      <c r="H102" s="18">
        <f t="shared" si="52"/>
        <v>160</v>
      </c>
      <c r="I102" s="18">
        <v>0</v>
      </c>
      <c r="J102" s="18">
        <f t="shared" si="53"/>
        <v>-160</v>
      </c>
      <c r="K102" s="25">
        <f t="shared" si="54"/>
        <v>0</v>
      </c>
      <c r="L102" s="18">
        <f t="shared" si="55"/>
        <v>0</v>
      </c>
      <c r="M102" s="18">
        <v>0</v>
      </c>
      <c r="N102" s="18">
        <f t="shared" si="56"/>
        <v>0</v>
      </c>
      <c r="O102" s="25" t="str">
        <f t="shared" si="57"/>
        <v/>
      </c>
      <c r="P102" s="18">
        <f t="shared" si="58"/>
        <v>160</v>
      </c>
      <c r="Q102" s="18">
        <f t="shared" si="59"/>
        <v>0</v>
      </c>
      <c r="R102" s="18">
        <f t="shared" si="60"/>
        <v>-160</v>
      </c>
      <c r="S102" s="25" t="str">
        <f t="shared" si="61"/>
        <v/>
      </c>
      <c r="T102" s="25" t="str">
        <f t="shared" si="62"/>
        <v/>
      </c>
      <c r="U102" s="25" t="str">
        <f t="shared" si="63"/>
        <v/>
      </c>
      <c r="V102" s="25" t="str">
        <f t="shared" si="64"/>
        <v/>
      </c>
      <c r="W102" s="30" t="str">
        <f t="shared" si="65"/>
        <v>Excluido</v>
      </c>
      <c r="X102" s="15" t="str">
        <f t="shared" si="66"/>
        <v>Excluido</v>
      </c>
      <c r="Y102" s="15" t="str">
        <f t="shared" si="67"/>
        <v>Excluido - auditoría/contratista</v>
      </c>
      <c r="Z102" s="15" t="s">
        <v>58</v>
      </c>
    </row>
    <row r="103" spans="1:26" x14ac:dyDescent="0.35">
      <c r="A103" s="15" t="s">
        <v>56</v>
      </c>
      <c r="B103" s="15" t="s">
        <v>61</v>
      </c>
      <c r="C103" s="15" t="s">
        <v>7</v>
      </c>
      <c r="D103" s="25">
        <v>0</v>
      </c>
      <c r="E103" s="25">
        <v>1</v>
      </c>
      <c r="F103" s="25">
        <f t="shared" si="51"/>
        <v>0</v>
      </c>
      <c r="G103" s="18">
        <v>33.5</v>
      </c>
      <c r="H103" s="18">
        <f t="shared" si="52"/>
        <v>0</v>
      </c>
      <c r="I103" s="18">
        <v>0</v>
      </c>
      <c r="J103" s="18">
        <f t="shared" si="53"/>
        <v>0</v>
      </c>
      <c r="K103" s="25" t="str">
        <f t="shared" si="54"/>
        <v/>
      </c>
      <c r="L103" s="18">
        <f t="shared" si="55"/>
        <v>33.5</v>
      </c>
      <c r="M103" s="18">
        <v>0</v>
      </c>
      <c r="N103" s="18">
        <f t="shared" si="56"/>
        <v>-33.5</v>
      </c>
      <c r="O103" s="25">
        <f t="shared" si="57"/>
        <v>0</v>
      </c>
      <c r="P103" s="18">
        <f t="shared" si="58"/>
        <v>33.5</v>
      </c>
      <c r="Q103" s="18">
        <f t="shared" si="59"/>
        <v>0</v>
      </c>
      <c r="R103" s="18">
        <f t="shared" si="60"/>
        <v>-33.5</v>
      </c>
      <c r="S103" s="25" t="str">
        <f t="shared" si="61"/>
        <v/>
      </c>
      <c r="T103" s="25" t="str">
        <f t="shared" si="62"/>
        <v/>
      </c>
      <c r="U103" s="25" t="str">
        <f t="shared" si="63"/>
        <v/>
      </c>
      <c r="V103" s="25" t="str">
        <f t="shared" si="64"/>
        <v/>
      </c>
      <c r="W103" s="30" t="str">
        <f t="shared" si="65"/>
        <v>Excluido</v>
      </c>
      <c r="X103" s="15" t="str">
        <f t="shared" si="66"/>
        <v>Excluido</v>
      </c>
      <c r="Y103" s="15" t="str">
        <f t="shared" si="67"/>
        <v>Excluido - auditoría/contratista</v>
      </c>
      <c r="Z103" s="15" t="s">
        <v>58</v>
      </c>
    </row>
    <row r="104" spans="1:26" x14ac:dyDescent="0.35">
      <c r="A104" s="26" t="s">
        <v>56</v>
      </c>
      <c r="B104" s="15" t="s">
        <v>62</v>
      </c>
      <c r="C104" s="15" t="s">
        <v>5</v>
      </c>
      <c r="D104" s="25">
        <v>1</v>
      </c>
      <c r="E104" s="25">
        <v>0</v>
      </c>
      <c r="F104" s="25">
        <f t="shared" si="51"/>
        <v>0</v>
      </c>
      <c r="G104" s="18">
        <v>176</v>
      </c>
      <c r="H104" s="18">
        <f t="shared" si="52"/>
        <v>176</v>
      </c>
      <c r="I104" s="18">
        <v>0</v>
      </c>
      <c r="J104" s="18">
        <f t="shared" si="53"/>
        <v>-176</v>
      </c>
      <c r="K104" s="25">
        <f t="shared" si="54"/>
        <v>0</v>
      </c>
      <c r="L104" s="18">
        <f t="shared" si="55"/>
        <v>0</v>
      </c>
      <c r="M104" s="18">
        <v>0</v>
      </c>
      <c r="N104" s="18">
        <f t="shared" si="56"/>
        <v>0</v>
      </c>
      <c r="O104" s="25" t="str">
        <f t="shared" si="57"/>
        <v/>
      </c>
      <c r="P104" s="18">
        <f t="shared" si="58"/>
        <v>176</v>
      </c>
      <c r="Q104" s="18">
        <f t="shared" si="59"/>
        <v>0</v>
      </c>
      <c r="R104" s="18">
        <f t="shared" si="60"/>
        <v>-176</v>
      </c>
      <c r="S104" s="25" t="str">
        <f t="shared" si="61"/>
        <v/>
      </c>
      <c r="T104" s="25" t="str">
        <f t="shared" si="62"/>
        <v/>
      </c>
      <c r="U104" s="25" t="str">
        <f t="shared" si="63"/>
        <v/>
      </c>
      <c r="V104" s="25" t="str">
        <f t="shared" si="64"/>
        <v/>
      </c>
      <c r="W104" s="30" t="str">
        <f t="shared" si="65"/>
        <v>Excluido</v>
      </c>
      <c r="X104" s="15" t="str">
        <f t="shared" si="66"/>
        <v>Excluido</v>
      </c>
      <c r="Y104" s="15" t="str">
        <f t="shared" si="67"/>
        <v>Excluido - auditoría/contratista</v>
      </c>
      <c r="Z104" s="15" t="s">
        <v>58</v>
      </c>
    </row>
    <row r="105" spans="1:26" x14ac:dyDescent="0.35">
      <c r="A105" s="15" t="s">
        <v>56</v>
      </c>
      <c r="B105" s="15" t="s">
        <v>62</v>
      </c>
      <c r="C105" s="15" t="s">
        <v>6</v>
      </c>
      <c r="D105" s="25">
        <v>0.5</v>
      </c>
      <c r="E105" s="25">
        <v>0</v>
      </c>
      <c r="F105" s="25">
        <f t="shared" si="51"/>
        <v>0.5</v>
      </c>
      <c r="G105" s="18">
        <v>160</v>
      </c>
      <c r="H105" s="18">
        <f t="shared" si="52"/>
        <v>80</v>
      </c>
      <c r="I105" s="18">
        <v>0</v>
      </c>
      <c r="J105" s="18">
        <f t="shared" si="53"/>
        <v>-80</v>
      </c>
      <c r="K105" s="25">
        <f t="shared" si="54"/>
        <v>0</v>
      </c>
      <c r="L105" s="18">
        <f t="shared" si="55"/>
        <v>0</v>
      </c>
      <c r="M105" s="18">
        <v>0</v>
      </c>
      <c r="N105" s="18">
        <f t="shared" si="56"/>
        <v>0</v>
      </c>
      <c r="O105" s="25" t="str">
        <f t="shared" si="57"/>
        <v/>
      </c>
      <c r="P105" s="18">
        <f t="shared" si="58"/>
        <v>80</v>
      </c>
      <c r="Q105" s="18">
        <f t="shared" si="59"/>
        <v>0</v>
      </c>
      <c r="R105" s="18">
        <f t="shared" si="60"/>
        <v>-80</v>
      </c>
      <c r="S105" s="25" t="str">
        <f t="shared" si="61"/>
        <v/>
      </c>
      <c r="T105" s="25" t="str">
        <f t="shared" si="62"/>
        <v/>
      </c>
      <c r="U105" s="25" t="str">
        <f t="shared" si="63"/>
        <v/>
      </c>
      <c r="V105" s="25" t="str">
        <f t="shared" si="64"/>
        <v/>
      </c>
      <c r="W105" s="30" t="str">
        <f t="shared" si="65"/>
        <v>Excluido</v>
      </c>
      <c r="X105" s="15" t="str">
        <f t="shared" si="66"/>
        <v>Excluido</v>
      </c>
      <c r="Y105" s="15" t="str">
        <f t="shared" si="67"/>
        <v>Excluido - auditoría/contratista</v>
      </c>
      <c r="Z105" s="15" t="s">
        <v>58</v>
      </c>
    </row>
    <row r="106" spans="1:26" x14ac:dyDescent="0.35">
      <c r="A106" s="26" t="s">
        <v>56</v>
      </c>
      <c r="B106" s="15" t="s">
        <v>62</v>
      </c>
      <c r="C106" s="15" t="s">
        <v>7</v>
      </c>
      <c r="D106" s="25">
        <v>0</v>
      </c>
      <c r="E106" s="25">
        <v>0</v>
      </c>
      <c r="F106" s="25">
        <f t="shared" si="51"/>
        <v>1</v>
      </c>
      <c r="G106" s="18">
        <v>33.5</v>
      </c>
      <c r="H106" s="18">
        <f t="shared" si="52"/>
        <v>0</v>
      </c>
      <c r="I106" s="18">
        <v>0</v>
      </c>
      <c r="J106" s="18">
        <f t="shared" si="53"/>
        <v>0</v>
      </c>
      <c r="K106" s="25" t="str">
        <f t="shared" si="54"/>
        <v/>
      </c>
      <c r="L106" s="18">
        <f t="shared" si="55"/>
        <v>0</v>
      </c>
      <c r="M106" s="18">
        <v>0</v>
      </c>
      <c r="N106" s="18">
        <f t="shared" si="56"/>
        <v>0</v>
      </c>
      <c r="O106" s="25" t="str">
        <f t="shared" si="57"/>
        <v/>
      </c>
      <c r="P106" s="18">
        <f t="shared" si="58"/>
        <v>0</v>
      </c>
      <c r="Q106" s="18">
        <f t="shared" si="59"/>
        <v>0</v>
      </c>
      <c r="R106" s="18">
        <f t="shared" si="60"/>
        <v>0</v>
      </c>
      <c r="S106" s="25" t="str">
        <f t="shared" si="61"/>
        <v/>
      </c>
      <c r="T106" s="25" t="str">
        <f t="shared" si="62"/>
        <v/>
      </c>
      <c r="U106" s="25" t="str">
        <f t="shared" si="63"/>
        <v/>
      </c>
      <c r="V106" s="25" t="str">
        <f t="shared" si="64"/>
        <v/>
      </c>
      <c r="W106" s="30" t="str">
        <f t="shared" si="65"/>
        <v>Excluido</v>
      </c>
      <c r="X106" s="15" t="str">
        <f t="shared" si="66"/>
        <v>Excluido</v>
      </c>
      <c r="Y106" s="15" t="str">
        <f t="shared" si="67"/>
        <v>Excluido - auditoría/contratista</v>
      </c>
      <c r="Z106" s="15" t="s">
        <v>58</v>
      </c>
    </row>
  </sheetData>
  <autoFilter ref="A4:Z106" xr:uid="{47D8FBC5-29CC-4720-BA3F-1DCB0B97263F}"/>
  <mergeCells count="2">
    <mergeCell ref="A1:Z1"/>
    <mergeCell ref="A2:Z2"/>
  </mergeCells>
  <pageMargins left="0.7" right="0.7" top="0.75" bottom="0.75" header="0.3" footer="0.3"/>
  <pageSetup scale="54" fitToWidth="3" fitToHeight="0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68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8.7265625" defaultRowHeight="14.5" x14ac:dyDescent="0.35"/>
  <cols>
    <col min="1" max="1" width="38" customWidth="1"/>
    <col min="2" max="2" width="26" customWidth="1"/>
    <col min="3" max="3" width="11" customWidth="1"/>
    <col min="4" max="4" width="18" customWidth="1"/>
    <col min="5" max="5" width="38" customWidth="1"/>
    <col min="6" max="6" width="20" customWidth="1"/>
    <col min="7" max="7" width="55" customWidth="1"/>
    <col min="8" max="8" width="45" customWidth="1"/>
  </cols>
  <sheetData>
    <row r="1" spans="1:8" ht="30" customHeight="1" x14ac:dyDescent="0.35">
      <c r="A1" s="46" t="s">
        <v>63</v>
      </c>
      <c r="B1" s="44"/>
      <c r="C1" s="44"/>
      <c r="D1" s="44"/>
      <c r="E1" s="44"/>
      <c r="F1" s="44"/>
      <c r="G1" s="44"/>
      <c r="H1" s="44"/>
    </row>
    <row r="2" spans="1:8" ht="30" customHeight="1" x14ac:dyDescent="0.35">
      <c r="A2" s="45" t="s">
        <v>64</v>
      </c>
      <c r="B2" s="44"/>
      <c r="C2" s="44"/>
      <c r="D2" s="44"/>
      <c r="E2" s="44"/>
      <c r="F2" s="44"/>
      <c r="G2" s="44"/>
      <c r="H2" s="44"/>
    </row>
    <row r="4" spans="1:8" x14ac:dyDescent="0.35">
      <c r="A4" s="1" t="s">
        <v>65</v>
      </c>
      <c r="B4" s="1" t="s">
        <v>66</v>
      </c>
      <c r="C4" s="2" t="s">
        <v>67</v>
      </c>
      <c r="D4" s="2" t="s">
        <v>68</v>
      </c>
      <c r="E4" s="2" t="s">
        <v>69</v>
      </c>
      <c r="F4" s="2" t="s">
        <v>70</v>
      </c>
      <c r="G4" s="1" t="s">
        <v>71</v>
      </c>
      <c r="H4" s="1" t="s">
        <v>72</v>
      </c>
    </row>
    <row r="5" spans="1:8" ht="29" x14ac:dyDescent="0.35">
      <c r="A5" s="3" t="s">
        <v>73</v>
      </c>
      <c r="B5" s="3" t="s">
        <v>74</v>
      </c>
      <c r="C5" s="4" t="s">
        <v>75</v>
      </c>
      <c r="D5" s="4" t="s">
        <v>76</v>
      </c>
      <c r="E5" s="4" t="s">
        <v>77</v>
      </c>
      <c r="F5" s="6">
        <v>0.5</v>
      </c>
      <c r="G5" s="3" t="s">
        <v>78</v>
      </c>
      <c r="H5" s="3" t="s">
        <v>79</v>
      </c>
    </row>
    <row r="6" spans="1:8" ht="29" x14ac:dyDescent="0.35">
      <c r="A6" s="7" t="s">
        <v>73</v>
      </c>
      <c r="B6" s="7" t="s">
        <v>74</v>
      </c>
      <c r="C6" s="8" t="s">
        <v>75</v>
      </c>
      <c r="D6" s="8" t="s">
        <v>80</v>
      </c>
      <c r="E6" s="8" t="s">
        <v>77</v>
      </c>
      <c r="F6" s="10">
        <v>0.5</v>
      </c>
      <c r="G6" s="7" t="s">
        <v>78</v>
      </c>
      <c r="H6" s="7" t="s">
        <v>79</v>
      </c>
    </row>
    <row r="7" spans="1:8" ht="29" x14ac:dyDescent="0.35">
      <c r="A7" s="3" t="s">
        <v>73</v>
      </c>
      <c r="B7" s="3" t="s">
        <v>74</v>
      </c>
      <c r="C7" s="4" t="s">
        <v>75</v>
      </c>
      <c r="D7" s="4" t="s">
        <v>81</v>
      </c>
      <c r="E7" s="4" t="s">
        <v>77</v>
      </c>
      <c r="F7" s="6">
        <v>0.5</v>
      </c>
      <c r="G7" s="3" t="s">
        <v>78</v>
      </c>
      <c r="H7" s="3" t="s">
        <v>79</v>
      </c>
    </row>
    <row r="8" spans="1:8" ht="29" x14ac:dyDescent="0.35">
      <c r="A8" s="7" t="s">
        <v>73</v>
      </c>
      <c r="B8" s="7" t="s">
        <v>74</v>
      </c>
      <c r="C8" s="8" t="s">
        <v>75</v>
      </c>
      <c r="D8" s="8" t="s">
        <v>82</v>
      </c>
      <c r="E8" s="8" t="s">
        <v>77</v>
      </c>
      <c r="F8" s="10">
        <v>0.5</v>
      </c>
      <c r="G8" s="7" t="s">
        <v>78</v>
      </c>
      <c r="H8" s="7" t="s">
        <v>79</v>
      </c>
    </row>
    <row r="9" spans="1:8" ht="29" x14ac:dyDescent="0.35">
      <c r="A9" s="3" t="s">
        <v>73</v>
      </c>
      <c r="B9" s="3" t="s">
        <v>74</v>
      </c>
      <c r="C9" s="4" t="s">
        <v>75</v>
      </c>
      <c r="D9" s="4" t="s">
        <v>83</v>
      </c>
      <c r="E9" s="4" t="s">
        <v>77</v>
      </c>
      <c r="F9" s="6">
        <v>0.5</v>
      </c>
      <c r="G9" s="3" t="s">
        <v>78</v>
      </c>
      <c r="H9" s="3" t="s">
        <v>79</v>
      </c>
    </row>
    <row r="10" spans="1:8" x14ac:dyDescent="0.35">
      <c r="A10" s="7" t="s">
        <v>84</v>
      </c>
      <c r="B10" s="7" t="s">
        <v>85</v>
      </c>
      <c r="C10" s="8" t="s">
        <v>75</v>
      </c>
      <c r="D10" s="8" t="s">
        <v>86</v>
      </c>
      <c r="E10" s="8" t="s">
        <v>87</v>
      </c>
      <c r="F10" s="10">
        <v>17.55</v>
      </c>
      <c r="G10" s="7" t="s">
        <v>88</v>
      </c>
      <c r="H10" s="7" t="s">
        <v>89</v>
      </c>
    </row>
    <row r="11" spans="1:8" x14ac:dyDescent="0.35">
      <c r="A11" s="3" t="s">
        <v>84</v>
      </c>
      <c r="B11" s="3" t="s">
        <v>85</v>
      </c>
      <c r="C11" s="4" t="s">
        <v>75</v>
      </c>
      <c r="D11" s="4" t="s">
        <v>90</v>
      </c>
      <c r="E11" s="4" t="s">
        <v>91</v>
      </c>
      <c r="F11" s="6">
        <v>14.25</v>
      </c>
      <c r="G11" s="3" t="s">
        <v>88</v>
      </c>
      <c r="H11" s="3" t="s">
        <v>89</v>
      </c>
    </row>
    <row r="12" spans="1:8" x14ac:dyDescent="0.35">
      <c r="A12" s="7" t="s">
        <v>84</v>
      </c>
      <c r="B12" s="7" t="s">
        <v>92</v>
      </c>
      <c r="C12" s="8" t="s">
        <v>93</v>
      </c>
      <c r="D12" s="8" t="s">
        <v>94</v>
      </c>
      <c r="E12" s="8" t="s">
        <v>95</v>
      </c>
      <c r="F12" s="10">
        <v>8</v>
      </c>
      <c r="G12" s="7" t="s">
        <v>96</v>
      </c>
      <c r="H12" s="7" t="s">
        <v>97</v>
      </c>
    </row>
    <row r="13" spans="1:8" x14ac:dyDescent="0.35">
      <c r="A13" s="3" t="s">
        <v>84</v>
      </c>
      <c r="B13" s="3" t="s">
        <v>92</v>
      </c>
      <c r="C13" s="4" t="s">
        <v>93</v>
      </c>
      <c r="D13" s="4" t="s">
        <v>98</v>
      </c>
      <c r="E13" s="4" t="s">
        <v>95</v>
      </c>
      <c r="F13" s="6">
        <v>8</v>
      </c>
      <c r="G13" s="3" t="s">
        <v>96</v>
      </c>
      <c r="H13" s="3" t="s">
        <v>97</v>
      </c>
    </row>
    <row r="14" spans="1:8" x14ac:dyDescent="0.35">
      <c r="A14" s="7" t="s">
        <v>84</v>
      </c>
      <c r="B14" s="7" t="s">
        <v>92</v>
      </c>
      <c r="C14" s="8" t="s">
        <v>93</v>
      </c>
      <c r="D14" s="8" t="s">
        <v>99</v>
      </c>
      <c r="E14" s="8" t="s">
        <v>95</v>
      </c>
      <c r="F14" s="10">
        <v>6</v>
      </c>
      <c r="G14" s="7" t="s">
        <v>96</v>
      </c>
      <c r="H14" s="7" t="s">
        <v>97</v>
      </c>
    </row>
    <row r="15" spans="1:8" x14ac:dyDescent="0.35">
      <c r="A15" s="3" t="s">
        <v>84</v>
      </c>
      <c r="B15" s="3" t="s">
        <v>92</v>
      </c>
      <c r="C15" s="4" t="s">
        <v>93</v>
      </c>
      <c r="D15" s="4" t="s">
        <v>100</v>
      </c>
      <c r="E15" s="4" t="s">
        <v>101</v>
      </c>
      <c r="F15" s="6">
        <v>6</v>
      </c>
      <c r="G15" s="3" t="s">
        <v>96</v>
      </c>
      <c r="H15" s="3" t="s">
        <v>97</v>
      </c>
    </row>
    <row r="16" spans="1:8" x14ac:dyDescent="0.35">
      <c r="A16" s="7" t="s">
        <v>84</v>
      </c>
      <c r="B16" s="7" t="s">
        <v>92</v>
      </c>
      <c r="C16" s="8" t="s">
        <v>93</v>
      </c>
      <c r="D16" s="8" t="s">
        <v>100</v>
      </c>
      <c r="E16" s="8" t="s">
        <v>102</v>
      </c>
      <c r="F16" s="10">
        <v>3.5</v>
      </c>
      <c r="G16" s="7" t="s">
        <v>96</v>
      </c>
      <c r="H16" s="7" t="s">
        <v>97</v>
      </c>
    </row>
    <row r="17" spans="1:8" x14ac:dyDescent="0.35">
      <c r="A17" s="3" t="s">
        <v>84</v>
      </c>
      <c r="B17" s="3" t="s">
        <v>92</v>
      </c>
      <c r="C17" s="4" t="s">
        <v>93</v>
      </c>
      <c r="D17" s="4" t="s">
        <v>103</v>
      </c>
      <c r="E17" s="4" t="s">
        <v>104</v>
      </c>
      <c r="F17" s="6">
        <v>1</v>
      </c>
      <c r="G17" s="3" t="s">
        <v>96</v>
      </c>
      <c r="H17" s="3" t="s">
        <v>97</v>
      </c>
    </row>
    <row r="18" spans="1:8" x14ac:dyDescent="0.35">
      <c r="A18" s="7" t="s">
        <v>84</v>
      </c>
      <c r="B18" s="7" t="s">
        <v>92</v>
      </c>
      <c r="C18" s="8" t="s">
        <v>93</v>
      </c>
      <c r="D18" s="8" t="s">
        <v>105</v>
      </c>
      <c r="E18" s="8" t="s">
        <v>106</v>
      </c>
      <c r="F18" s="10">
        <v>9</v>
      </c>
      <c r="G18" s="7" t="s">
        <v>96</v>
      </c>
      <c r="H18" s="7" t="s">
        <v>97</v>
      </c>
    </row>
    <row r="19" spans="1:8" x14ac:dyDescent="0.35">
      <c r="A19" s="3" t="s">
        <v>84</v>
      </c>
      <c r="B19" s="3" t="s">
        <v>92</v>
      </c>
      <c r="C19" s="4" t="s">
        <v>93</v>
      </c>
      <c r="D19" s="4" t="s">
        <v>105</v>
      </c>
      <c r="E19" s="4" t="s">
        <v>107</v>
      </c>
      <c r="F19" s="6">
        <v>12</v>
      </c>
      <c r="G19" s="3" t="s">
        <v>96</v>
      </c>
      <c r="H19" s="3" t="s">
        <v>97</v>
      </c>
    </row>
    <row r="20" spans="1:8" x14ac:dyDescent="0.35">
      <c r="A20" s="7" t="s">
        <v>84</v>
      </c>
      <c r="B20" s="7" t="s">
        <v>92</v>
      </c>
      <c r="C20" s="8" t="s">
        <v>93</v>
      </c>
      <c r="D20" s="8" t="s">
        <v>108</v>
      </c>
      <c r="E20" s="8" t="s">
        <v>95</v>
      </c>
      <c r="F20" s="10">
        <v>7</v>
      </c>
      <c r="G20" s="7" t="s">
        <v>96</v>
      </c>
      <c r="H20" s="7" t="s">
        <v>97</v>
      </c>
    </row>
    <row r="21" spans="1:8" x14ac:dyDescent="0.35">
      <c r="A21" s="3" t="s">
        <v>84</v>
      </c>
      <c r="B21" s="3" t="s">
        <v>92</v>
      </c>
      <c r="C21" s="4" t="s">
        <v>93</v>
      </c>
      <c r="D21" s="4" t="s">
        <v>108</v>
      </c>
      <c r="E21" s="4" t="s">
        <v>107</v>
      </c>
      <c r="F21" s="6">
        <v>11.5</v>
      </c>
      <c r="G21" s="3" t="s">
        <v>96</v>
      </c>
      <c r="H21" s="3" t="s">
        <v>97</v>
      </c>
    </row>
    <row r="22" spans="1:8" x14ac:dyDescent="0.35">
      <c r="A22" s="7" t="s">
        <v>84</v>
      </c>
      <c r="B22" s="7" t="s">
        <v>92</v>
      </c>
      <c r="C22" s="8" t="s">
        <v>93</v>
      </c>
      <c r="D22" s="8" t="s">
        <v>109</v>
      </c>
      <c r="E22" s="8" t="s">
        <v>101</v>
      </c>
      <c r="F22" s="10">
        <v>4</v>
      </c>
      <c r="G22" s="7" t="s">
        <v>96</v>
      </c>
      <c r="H22" s="7" t="s">
        <v>97</v>
      </c>
    </row>
    <row r="23" spans="1:8" x14ac:dyDescent="0.35">
      <c r="A23" s="3" t="s">
        <v>84</v>
      </c>
      <c r="B23" s="3" t="s">
        <v>92</v>
      </c>
      <c r="C23" s="4" t="s">
        <v>93</v>
      </c>
      <c r="D23" s="4" t="s">
        <v>110</v>
      </c>
      <c r="E23" s="4" t="s">
        <v>101</v>
      </c>
      <c r="F23" s="6">
        <v>4</v>
      </c>
      <c r="G23" s="3" t="s">
        <v>96</v>
      </c>
      <c r="H23" s="3" t="s">
        <v>97</v>
      </c>
    </row>
    <row r="24" spans="1:8" x14ac:dyDescent="0.35">
      <c r="A24" s="7" t="s">
        <v>84</v>
      </c>
      <c r="B24" s="7" t="s">
        <v>111</v>
      </c>
      <c r="C24" s="8" t="s">
        <v>93</v>
      </c>
      <c r="D24" s="8" t="s">
        <v>84</v>
      </c>
      <c r="E24" s="8" t="s">
        <v>112</v>
      </c>
      <c r="F24" s="10">
        <v>320</v>
      </c>
      <c r="G24" s="7" t="s">
        <v>113</v>
      </c>
      <c r="H24" s="7" t="s">
        <v>114</v>
      </c>
    </row>
    <row r="25" spans="1:8" x14ac:dyDescent="0.35">
      <c r="A25" s="3" t="s">
        <v>84</v>
      </c>
      <c r="B25" s="3" t="s">
        <v>111</v>
      </c>
      <c r="C25" s="4" t="s">
        <v>93</v>
      </c>
      <c r="D25" s="4" t="s">
        <v>84</v>
      </c>
      <c r="E25" s="4" t="s">
        <v>115</v>
      </c>
      <c r="F25" s="6">
        <v>249</v>
      </c>
      <c r="G25" s="3" t="s">
        <v>113</v>
      </c>
      <c r="H25" s="3" t="s">
        <v>114</v>
      </c>
    </row>
    <row r="26" spans="1:8" x14ac:dyDescent="0.35">
      <c r="A26" s="7" t="s">
        <v>84</v>
      </c>
      <c r="B26" s="7" t="s">
        <v>111</v>
      </c>
      <c r="C26" s="8" t="s">
        <v>93</v>
      </c>
      <c r="D26" s="8" t="s">
        <v>84</v>
      </c>
      <c r="E26" s="8" t="s">
        <v>77</v>
      </c>
      <c r="F26" s="10">
        <v>208.5</v>
      </c>
      <c r="G26" s="7" t="s">
        <v>113</v>
      </c>
      <c r="H26" s="7" t="s">
        <v>114</v>
      </c>
    </row>
    <row r="27" spans="1:8" x14ac:dyDescent="0.35">
      <c r="A27" s="3" t="s">
        <v>84</v>
      </c>
      <c r="B27" s="3" t="s">
        <v>111</v>
      </c>
      <c r="C27" s="4" t="s">
        <v>93</v>
      </c>
      <c r="D27" s="4" t="s">
        <v>84</v>
      </c>
      <c r="E27" s="4" t="s">
        <v>116</v>
      </c>
      <c r="F27" s="6">
        <v>117.5</v>
      </c>
      <c r="G27" s="3" t="s">
        <v>113</v>
      </c>
      <c r="H27" s="3" t="s">
        <v>114</v>
      </c>
    </row>
    <row r="28" spans="1:8" x14ac:dyDescent="0.35">
      <c r="A28" s="7" t="s">
        <v>84</v>
      </c>
      <c r="B28" s="7" t="s">
        <v>111</v>
      </c>
      <c r="C28" s="8" t="s">
        <v>93</v>
      </c>
      <c r="D28" s="8" t="s">
        <v>84</v>
      </c>
      <c r="E28" s="8" t="s">
        <v>117</v>
      </c>
      <c r="F28" s="10">
        <v>113.5</v>
      </c>
      <c r="G28" s="7" t="s">
        <v>113</v>
      </c>
      <c r="H28" s="7" t="s">
        <v>114</v>
      </c>
    </row>
    <row r="29" spans="1:8" x14ac:dyDescent="0.35">
      <c r="A29" s="3" t="s">
        <v>84</v>
      </c>
      <c r="B29" s="3" t="s">
        <v>111</v>
      </c>
      <c r="C29" s="4" t="s">
        <v>93</v>
      </c>
      <c r="D29" s="4" t="s">
        <v>84</v>
      </c>
      <c r="E29" s="4" t="s">
        <v>101</v>
      </c>
      <c r="F29" s="6">
        <v>106</v>
      </c>
      <c r="G29" s="3" t="s">
        <v>113</v>
      </c>
      <c r="H29" s="3" t="s">
        <v>114</v>
      </c>
    </row>
    <row r="30" spans="1:8" x14ac:dyDescent="0.35">
      <c r="A30" s="7" t="s">
        <v>84</v>
      </c>
      <c r="B30" s="7" t="s">
        <v>111</v>
      </c>
      <c r="C30" s="8" t="s">
        <v>93</v>
      </c>
      <c r="D30" s="8" t="s">
        <v>84</v>
      </c>
      <c r="E30" s="8" t="s">
        <v>118</v>
      </c>
      <c r="F30" s="10">
        <v>72.5</v>
      </c>
      <c r="G30" s="7" t="s">
        <v>113</v>
      </c>
      <c r="H30" s="7" t="s">
        <v>114</v>
      </c>
    </row>
    <row r="31" spans="1:8" x14ac:dyDescent="0.35">
      <c r="A31" s="3" t="s">
        <v>84</v>
      </c>
      <c r="B31" s="3" t="s">
        <v>111</v>
      </c>
      <c r="C31" s="4" t="s">
        <v>93</v>
      </c>
      <c r="D31" s="4" t="s">
        <v>84</v>
      </c>
      <c r="E31" s="4" t="s">
        <v>119</v>
      </c>
      <c r="F31" s="6">
        <v>63</v>
      </c>
      <c r="G31" s="3" t="s">
        <v>113</v>
      </c>
      <c r="H31" s="3" t="s">
        <v>114</v>
      </c>
    </row>
    <row r="32" spans="1:8" x14ac:dyDescent="0.35">
      <c r="A32" s="7" t="s">
        <v>84</v>
      </c>
      <c r="B32" s="7" t="s">
        <v>111</v>
      </c>
      <c r="C32" s="8" t="s">
        <v>93</v>
      </c>
      <c r="D32" s="8" t="s">
        <v>84</v>
      </c>
      <c r="E32" s="8" t="s">
        <v>120</v>
      </c>
      <c r="F32" s="10">
        <v>62</v>
      </c>
      <c r="G32" s="7" t="s">
        <v>113</v>
      </c>
      <c r="H32" s="7" t="s">
        <v>114</v>
      </c>
    </row>
    <row r="33" spans="1:8" x14ac:dyDescent="0.35">
      <c r="A33" s="3" t="s">
        <v>84</v>
      </c>
      <c r="B33" s="3" t="s">
        <v>111</v>
      </c>
      <c r="C33" s="4" t="s">
        <v>93</v>
      </c>
      <c r="D33" s="4" t="s">
        <v>84</v>
      </c>
      <c r="E33" s="4" t="s">
        <v>121</v>
      </c>
      <c r="F33" s="6">
        <v>51</v>
      </c>
      <c r="G33" s="3" t="s">
        <v>113</v>
      </c>
      <c r="H33" s="3" t="s">
        <v>114</v>
      </c>
    </row>
    <row r="34" spans="1:8" x14ac:dyDescent="0.35">
      <c r="A34" s="7" t="s">
        <v>84</v>
      </c>
      <c r="B34" s="7" t="s">
        <v>111</v>
      </c>
      <c r="C34" s="8" t="s">
        <v>93</v>
      </c>
      <c r="D34" s="8" t="s">
        <v>84</v>
      </c>
      <c r="E34" s="8" t="s">
        <v>122</v>
      </c>
      <c r="F34" s="10">
        <v>46.5</v>
      </c>
      <c r="G34" s="7" t="s">
        <v>113</v>
      </c>
      <c r="H34" s="7" t="s">
        <v>114</v>
      </c>
    </row>
    <row r="35" spans="1:8" x14ac:dyDescent="0.35">
      <c r="A35" s="3" t="s">
        <v>84</v>
      </c>
      <c r="B35" s="3" t="s">
        <v>111</v>
      </c>
      <c r="C35" s="4" t="s">
        <v>93</v>
      </c>
      <c r="D35" s="4" t="s">
        <v>84</v>
      </c>
      <c r="E35" s="4" t="s">
        <v>102</v>
      </c>
      <c r="F35" s="6">
        <v>15</v>
      </c>
      <c r="G35" s="3" t="s">
        <v>113</v>
      </c>
      <c r="H35" s="3" t="s">
        <v>114</v>
      </c>
    </row>
    <row r="36" spans="1:8" x14ac:dyDescent="0.35">
      <c r="A36" s="7" t="s">
        <v>84</v>
      </c>
      <c r="B36" s="7" t="s">
        <v>111</v>
      </c>
      <c r="C36" s="8" t="s">
        <v>93</v>
      </c>
      <c r="D36" s="8" t="s">
        <v>84</v>
      </c>
      <c r="E36" s="8" t="s">
        <v>123</v>
      </c>
      <c r="F36" s="10">
        <v>10.5</v>
      </c>
      <c r="G36" s="7" t="s">
        <v>113</v>
      </c>
      <c r="H36" s="7" t="s">
        <v>114</v>
      </c>
    </row>
    <row r="37" spans="1:8" x14ac:dyDescent="0.35">
      <c r="A37" s="3" t="s">
        <v>84</v>
      </c>
      <c r="B37" s="3" t="s">
        <v>111</v>
      </c>
      <c r="C37" s="4" t="s">
        <v>93</v>
      </c>
      <c r="D37" s="4" t="s">
        <v>84</v>
      </c>
      <c r="E37" s="4" t="s">
        <v>106</v>
      </c>
      <c r="F37" s="6">
        <v>10</v>
      </c>
      <c r="G37" s="3" t="s">
        <v>113</v>
      </c>
      <c r="H37" s="3" t="s">
        <v>114</v>
      </c>
    </row>
    <row r="38" spans="1:8" x14ac:dyDescent="0.35">
      <c r="A38" s="7" t="s">
        <v>84</v>
      </c>
      <c r="B38" s="7" t="s">
        <v>111</v>
      </c>
      <c r="C38" s="8" t="s">
        <v>93</v>
      </c>
      <c r="D38" s="8" t="s">
        <v>84</v>
      </c>
      <c r="E38" s="8" t="s">
        <v>124</v>
      </c>
      <c r="F38" s="10">
        <v>3</v>
      </c>
      <c r="G38" s="7" t="s">
        <v>113</v>
      </c>
      <c r="H38" s="7" t="s">
        <v>114</v>
      </c>
    </row>
    <row r="39" spans="1:8" x14ac:dyDescent="0.35">
      <c r="A39" s="3" t="s">
        <v>84</v>
      </c>
      <c r="B39" s="3" t="s">
        <v>111</v>
      </c>
      <c r="C39" s="4" t="s">
        <v>93</v>
      </c>
      <c r="D39" s="4" t="s">
        <v>84</v>
      </c>
      <c r="E39" s="4" t="s">
        <v>125</v>
      </c>
      <c r="F39" s="6">
        <v>2</v>
      </c>
      <c r="G39" s="3" t="s">
        <v>113</v>
      </c>
      <c r="H39" s="3" t="s">
        <v>114</v>
      </c>
    </row>
    <row r="40" spans="1:8" x14ac:dyDescent="0.35">
      <c r="A40" s="7" t="s">
        <v>84</v>
      </c>
      <c r="B40" s="7" t="s">
        <v>111</v>
      </c>
      <c r="C40" s="8" t="s">
        <v>93</v>
      </c>
      <c r="D40" s="8" t="s">
        <v>84</v>
      </c>
      <c r="E40" s="8" t="s">
        <v>126</v>
      </c>
      <c r="F40" s="10">
        <v>2</v>
      </c>
      <c r="G40" s="7" t="s">
        <v>113</v>
      </c>
      <c r="H40" s="7" t="s">
        <v>114</v>
      </c>
    </row>
    <row r="41" spans="1:8" x14ac:dyDescent="0.35">
      <c r="A41" s="3" t="s">
        <v>84</v>
      </c>
      <c r="B41" s="3" t="s">
        <v>111</v>
      </c>
      <c r="C41" s="4" t="s">
        <v>93</v>
      </c>
      <c r="D41" s="4" t="s">
        <v>84</v>
      </c>
      <c r="E41" s="4" t="s">
        <v>104</v>
      </c>
      <c r="F41" s="6">
        <v>1.5</v>
      </c>
      <c r="G41" s="3" t="s">
        <v>113</v>
      </c>
      <c r="H41" s="3" t="s">
        <v>114</v>
      </c>
    </row>
    <row r="42" spans="1:8" x14ac:dyDescent="0.35">
      <c r="A42" s="7" t="s">
        <v>84</v>
      </c>
      <c r="B42" s="7" t="s">
        <v>111</v>
      </c>
      <c r="C42" s="8" t="s">
        <v>93</v>
      </c>
      <c r="D42" s="8" t="s">
        <v>84</v>
      </c>
      <c r="E42" s="8" t="s">
        <v>127</v>
      </c>
      <c r="F42" s="10">
        <v>1</v>
      </c>
      <c r="G42" s="7" t="s">
        <v>113</v>
      </c>
      <c r="H42" s="7" t="s">
        <v>114</v>
      </c>
    </row>
    <row r="43" spans="1:8" x14ac:dyDescent="0.35">
      <c r="A43" s="3" t="s">
        <v>84</v>
      </c>
      <c r="B43" s="3" t="s">
        <v>111</v>
      </c>
      <c r="C43" s="4" t="s">
        <v>93</v>
      </c>
      <c r="D43" s="4" t="s">
        <v>84</v>
      </c>
      <c r="E43" s="4" t="s">
        <v>128</v>
      </c>
      <c r="F43" s="6">
        <v>1</v>
      </c>
      <c r="G43" s="3" t="s">
        <v>113</v>
      </c>
      <c r="H43" s="3" t="s">
        <v>114</v>
      </c>
    </row>
    <row r="44" spans="1:8" x14ac:dyDescent="0.35">
      <c r="A44" s="7" t="s">
        <v>84</v>
      </c>
      <c r="B44" s="7" t="s">
        <v>111</v>
      </c>
      <c r="C44" s="8" t="s">
        <v>93</v>
      </c>
      <c r="D44" s="8" t="s">
        <v>84</v>
      </c>
      <c r="E44" s="8" t="s">
        <v>129</v>
      </c>
      <c r="F44" s="10">
        <v>0.5</v>
      </c>
      <c r="G44" s="7" t="s">
        <v>113</v>
      </c>
      <c r="H44" s="7" t="s">
        <v>114</v>
      </c>
    </row>
    <row r="45" spans="1:8" x14ac:dyDescent="0.35">
      <c r="A45" s="3" t="s">
        <v>130</v>
      </c>
      <c r="B45" s="3" t="s">
        <v>131</v>
      </c>
      <c r="C45" s="4" t="s">
        <v>75</v>
      </c>
      <c r="D45" s="4" t="s">
        <v>132</v>
      </c>
      <c r="E45" s="4" t="s">
        <v>107</v>
      </c>
      <c r="F45" s="6">
        <v>8</v>
      </c>
      <c r="G45" s="3" t="s">
        <v>133</v>
      </c>
      <c r="H45" s="3" t="s">
        <v>134</v>
      </c>
    </row>
    <row r="46" spans="1:8" x14ac:dyDescent="0.35">
      <c r="A46" s="7" t="s">
        <v>130</v>
      </c>
      <c r="B46" s="7" t="s">
        <v>131</v>
      </c>
      <c r="C46" s="8" t="s">
        <v>75</v>
      </c>
      <c r="D46" s="8" t="s">
        <v>135</v>
      </c>
      <c r="E46" s="8" t="s">
        <v>107</v>
      </c>
      <c r="F46" s="10">
        <v>9</v>
      </c>
      <c r="G46" s="7" t="s">
        <v>136</v>
      </c>
      <c r="H46" s="7" t="s">
        <v>134</v>
      </c>
    </row>
    <row r="47" spans="1:8" x14ac:dyDescent="0.35">
      <c r="A47" s="3" t="s">
        <v>130</v>
      </c>
      <c r="B47" s="3" t="s">
        <v>131</v>
      </c>
      <c r="C47" s="4" t="s">
        <v>75</v>
      </c>
      <c r="D47" s="4" t="s">
        <v>137</v>
      </c>
      <c r="E47" s="4" t="s">
        <v>138</v>
      </c>
      <c r="F47" s="6">
        <v>9</v>
      </c>
      <c r="G47" s="3" t="s">
        <v>136</v>
      </c>
      <c r="H47" s="3" t="s">
        <v>134</v>
      </c>
    </row>
    <row r="48" spans="1:8" x14ac:dyDescent="0.35">
      <c r="A48" s="7" t="s">
        <v>130</v>
      </c>
      <c r="B48" s="7" t="s">
        <v>131</v>
      </c>
      <c r="C48" s="8" t="s">
        <v>75</v>
      </c>
      <c r="D48" s="8" t="s">
        <v>139</v>
      </c>
      <c r="E48" s="8" t="s">
        <v>138</v>
      </c>
      <c r="F48" s="10">
        <v>9</v>
      </c>
      <c r="G48" s="7" t="s">
        <v>136</v>
      </c>
      <c r="H48" s="7" t="s">
        <v>134</v>
      </c>
    </row>
    <row r="49" spans="1:8" x14ac:dyDescent="0.35">
      <c r="A49" s="3" t="s">
        <v>130</v>
      </c>
      <c r="B49" s="3" t="s">
        <v>131</v>
      </c>
      <c r="C49" s="4" t="s">
        <v>75</v>
      </c>
      <c r="D49" s="4" t="s">
        <v>140</v>
      </c>
      <c r="E49" s="4" t="s">
        <v>138</v>
      </c>
      <c r="F49" s="6">
        <v>9</v>
      </c>
      <c r="G49" s="3" t="s">
        <v>136</v>
      </c>
      <c r="H49" s="3" t="s">
        <v>134</v>
      </c>
    </row>
    <row r="50" spans="1:8" x14ac:dyDescent="0.35">
      <c r="A50" s="7" t="s">
        <v>130</v>
      </c>
      <c r="B50" s="7" t="s">
        <v>131</v>
      </c>
      <c r="C50" s="8" t="s">
        <v>75</v>
      </c>
      <c r="D50" s="8" t="s">
        <v>141</v>
      </c>
      <c r="E50" s="8" t="s">
        <v>138</v>
      </c>
      <c r="F50" s="10">
        <v>9</v>
      </c>
      <c r="G50" s="7" t="s">
        <v>136</v>
      </c>
      <c r="H50" s="7" t="s">
        <v>134</v>
      </c>
    </row>
    <row r="51" spans="1:8" x14ac:dyDescent="0.35">
      <c r="A51" s="3" t="s">
        <v>142</v>
      </c>
      <c r="B51" s="3" t="s">
        <v>143</v>
      </c>
      <c r="C51" s="4" t="s">
        <v>93</v>
      </c>
      <c r="D51" s="4" t="s">
        <v>6</v>
      </c>
      <c r="E51" s="4" t="s">
        <v>23</v>
      </c>
      <c r="F51" s="6">
        <v>0.5</v>
      </c>
      <c r="G51" s="3" t="s">
        <v>144</v>
      </c>
      <c r="H51" s="3" t="s">
        <v>145</v>
      </c>
    </row>
    <row r="52" spans="1:8" x14ac:dyDescent="0.35">
      <c r="A52" s="7" t="s">
        <v>142</v>
      </c>
      <c r="B52" s="7" t="s">
        <v>143</v>
      </c>
      <c r="C52" s="8" t="s">
        <v>93</v>
      </c>
      <c r="D52" s="8" t="s">
        <v>7</v>
      </c>
      <c r="E52" s="8" t="s">
        <v>23</v>
      </c>
      <c r="F52" s="10">
        <v>1</v>
      </c>
      <c r="G52" s="7" t="s">
        <v>144</v>
      </c>
      <c r="H52" s="7" t="s">
        <v>145</v>
      </c>
    </row>
    <row r="53" spans="1:8" x14ac:dyDescent="0.35">
      <c r="A53" s="3" t="s">
        <v>142</v>
      </c>
      <c r="B53" s="3" t="s">
        <v>143</v>
      </c>
      <c r="C53" s="4" t="s">
        <v>93</v>
      </c>
      <c r="D53" s="4" t="s">
        <v>6</v>
      </c>
      <c r="E53" s="4" t="s">
        <v>27</v>
      </c>
      <c r="F53" s="6">
        <v>1</v>
      </c>
      <c r="G53" s="3" t="s">
        <v>144</v>
      </c>
      <c r="H53" s="3" t="s">
        <v>145</v>
      </c>
    </row>
    <row r="54" spans="1:8" x14ac:dyDescent="0.35">
      <c r="A54" s="7" t="s">
        <v>84</v>
      </c>
      <c r="B54" s="7" t="s">
        <v>146</v>
      </c>
      <c r="C54" s="8" t="s">
        <v>75</v>
      </c>
      <c r="D54" s="8" t="s">
        <v>6</v>
      </c>
      <c r="E54" s="8" t="s">
        <v>27</v>
      </c>
      <c r="F54" s="10">
        <v>70</v>
      </c>
      <c r="G54" s="7" t="s">
        <v>147</v>
      </c>
      <c r="H54" s="7" t="s">
        <v>148</v>
      </c>
    </row>
    <row r="55" spans="1:8" x14ac:dyDescent="0.35">
      <c r="A55" s="3" t="s">
        <v>142</v>
      </c>
      <c r="B55" s="3" t="s">
        <v>143</v>
      </c>
      <c r="C55" s="4" t="s">
        <v>93</v>
      </c>
      <c r="D55" s="4" t="s">
        <v>7</v>
      </c>
      <c r="E55" s="4" t="s">
        <v>27</v>
      </c>
      <c r="F55" s="6">
        <v>1</v>
      </c>
      <c r="G55" s="3" t="s">
        <v>144</v>
      </c>
      <c r="H55" s="3" t="s">
        <v>145</v>
      </c>
    </row>
    <row r="56" spans="1:8" x14ac:dyDescent="0.35">
      <c r="A56" s="7" t="s">
        <v>142</v>
      </c>
      <c r="B56" s="7" t="s">
        <v>143</v>
      </c>
      <c r="C56" s="8" t="s">
        <v>93</v>
      </c>
      <c r="D56" s="8" t="s">
        <v>6</v>
      </c>
      <c r="E56" s="8" t="s">
        <v>28</v>
      </c>
      <c r="F56" s="10">
        <v>1</v>
      </c>
      <c r="G56" s="7" t="s">
        <v>144</v>
      </c>
      <c r="H56" s="7" t="s">
        <v>145</v>
      </c>
    </row>
    <row r="57" spans="1:8" x14ac:dyDescent="0.35">
      <c r="A57" s="3" t="s">
        <v>142</v>
      </c>
      <c r="B57" s="3" t="s">
        <v>143</v>
      </c>
      <c r="C57" s="4" t="s">
        <v>93</v>
      </c>
      <c r="D57" s="4" t="s">
        <v>7</v>
      </c>
      <c r="E57" s="4" t="s">
        <v>28</v>
      </c>
      <c r="F57" s="6">
        <v>1</v>
      </c>
      <c r="G57" s="3" t="s">
        <v>144</v>
      </c>
      <c r="H57" s="3" t="s">
        <v>145</v>
      </c>
    </row>
    <row r="58" spans="1:8" x14ac:dyDescent="0.35">
      <c r="A58" s="7" t="s">
        <v>142</v>
      </c>
      <c r="B58" s="7" t="s">
        <v>143</v>
      </c>
      <c r="C58" s="8" t="s">
        <v>93</v>
      </c>
      <c r="D58" s="8" t="s">
        <v>7</v>
      </c>
      <c r="E58" s="8" t="s">
        <v>30</v>
      </c>
      <c r="F58" s="10">
        <v>0.4</v>
      </c>
      <c r="G58" s="7" t="s">
        <v>144</v>
      </c>
      <c r="H58" s="7" t="s">
        <v>145</v>
      </c>
    </row>
    <row r="59" spans="1:8" x14ac:dyDescent="0.35">
      <c r="A59" s="3" t="s">
        <v>142</v>
      </c>
      <c r="B59" s="3" t="s">
        <v>143</v>
      </c>
      <c r="C59" s="4" t="s">
        <v>93</v>
      </c>
      <c r="D59" s="4" t="s">
        <v>7</v>
      </c>
      <c r="E59" s="4" t="s">
        <v>31</v>
      </c>
      <c r="F59" s="6">
        <v>0.4</v>
      </c>
      <c r="G59" s="3" t="s">
        <v>144</v>
      </c>
      <c r="H59" s="3" t="s">
        <v>145</v>
      </c>
    </row>
    <row r="60" spans="1:8" x14ac:dyDescent="0.35">
      <c r="A60" s="7" t="s">
        <v>142</v>
      </c>
      <c r="B60" s="7" t="s">
        <v>143</v>
      </c>
      <c r="C60" s="8" t="s">
        <v>93</v>
      </c>
      <c r="D60" s="8" t="s">
        <v>7</v>
      </c>
      <c r="E60" s="8" t="s">
        <v>32</v>
      </c>
      <c r="F60" s="10">
        <v>0.4</v>
      </c>
      <c r="G60" s="7" t="s">
        <v>144</v>
      </c>
      <c r="H60" s="7" t="s">
        <v>145</v>
      </c>
    </row>
    <row r="61" spans="1:8" x14ac:dyDescent="0.35">
      <c r="A61" s="3" t="s">
        <v>142</v>
      </c>
      <c r="B61" s="3" t="s">
        <v>143</v>
      </c>
      <c r="C61" s="4" t="s">
        <v>93</v>
      </c>
      <c r="D61" s="4" t="s">
        <v>7</v>
      </c>
      <c r="E61" s="4" t="s">
        <v>33</v>
      </c>
      <c r="F61" s="6">
        <v>1</v>
      </c>
      <c r="G61" s="3" t="s">
        <v>144</v>
      </c>
      <c r="H61" s="3" t="s">
        <v>145</v>
      </c>
    </row>
    <row r="62" spans="1:8" x14ac:dyDescent="0.35">
      <c r="A62" s="7" t="s">
        <v>84</v>
      </c>
      <c r="B62" s="7" t="s">
        <v>146</v>
      </c>
      <c r="C62" s="8" t="s">
        <v>75</v>
      </c>
      <c r="D62" s="8" t="s">
        <v>7</v>
      </c>
      <c r="E62" s="8" t="s">
        <v>33</v>
      </c>
      <c r="F62" s="10">
        <v>33.5</v>
      </c>
      <c r="G62" s="7" t="s">
        <v>147</v>
      </c>
      <c r="H62" s="7" t="s">
        <v>148</v>
      </c>
    </row>
    <row r="63" spans="1:8" x14ac:dyDescent="0.35">
      <c r="A63" s="3" t="s">
        <v>142</v>
      </c>
      <c r="B63" s="3" t="s">
        <v>143</v>
      </c>
      <c r="C63" s="4" t="s">
        <v>93</v>
      </c>
      <c r="D63" s="4" t="s">
        <v>7</v>
      </c>
      <c r="E63" s="4" t="s">
        <v>34</v>
      </c>
      <c r="F63" s="6">
        <v>1</v>
      </c>
      <c r="G63" s="3" t="s">
        <v>144</v>
      </c>
      <c r="H63" s="3" t="s">
        <v>145</v>
      </c>
    </row>
    <row r="64" spans="1:8" x14ac:dyDescent="0.35">
      <c r="A64" s="7" t="s">
        <v>142</v>
      </c>
      <c r="B64" s="7" t="s">
        <v>143</v>
      </c>
      <c r="C64" s="8" t="s">
        <v>93</v>
      </c>
      <c r="D64" s="8" t="s">
        <v>7</v>
      </c>
      <c r="E64" s="8" t="s">
        <v>35</v>
      </c>
      <c r="F64" s="10">
        <v>1</v>
      </c>
      <c r="G64" s="7" t="s">
        <v>144</v>
      </c>
      <c r="H64" s="7" t="s">
        <v>145</v>
      </c>
    </row>
    <row r="65" spans="1:8" x14ac:dyDescent="0.35">
      <c r="A65" s="3" t="s">
        <v>142</v>
      </c>
      <c r="B65" s="3" t="s">
        <v>143</v>
      </c>
      <c r="C65" s="4" t="s">
        <v>93</v>
      </c>
      <c r="D65" s="4" t="s">
        <v>7</v>
      </c>
      <c r="E65" s="4" t="s">
        <v>42</v>
      </c>
      <c r="F65" s="6">
        <v>1</v>
      </c>
      <c r="G65" s="3" t="s">
        <v>144</v>
      </c>
      <c r="H65" s="3" t="s">
        <v>145</v>
      </c>
    </row>
    <row r="66" spans="1:8" x14ac:dyDescent="0.35">
      <c r="A66" s="7" t="s">
        <v>84</v>
      </c>
      <c r="B66" s="7" t="s">
        <v>146</v>
      </c>
      <c r="C66" s="8" t="s">
        <v>75</v>
      </c>
      <c r="D66" s="8" t="s">
        <v>7</v>
      </c>
      <c r="E66" s="8" t="s">
        <v>42</v>
      </c>
      <c r="F66" s="10">
        <v>34</v>
      </c>
      <c r="G66" s="7" t="s">
        <v>147</v>
      </c>
      <c r="H66" s="7" t="s">
        <v>148</v>
      </c>
    </row>
    <row r="67" spans="1:8" x14ac:dyDescent="0.35">
      <c r="A67" s="3" t="s">
        <v>142</v>
      </c>
      <c r="B67" s="3" t="s">
        <v>143</v>
      </c>
      <c r="C67" s="4" t="s">
        <v>93</v>
      </c>
      <c r="D67" s="4" t="s">
        <v>7</v>
      </c>
      <c r="E67" s="4" t="s">
        <v>46</v>
      </c>
      <c r="F67" s="6">
        <v>1</v>
      </c>
      <c r="G67" s="3" t="s">
        <v>144</v>
      </c>
      <c r="H67" s="3" t="s">
        <v>145</v>
      </c>
    </row>
    <row r="68" spans="1:8" x14ac:dyDescent="0.35">
      <c r="A68" s="7" t="s">
        <v>84</v>
      </c>
      <c r="B68" s="7" t="s">
        <v>146</v>
      </c>
      <c r="C68" s="8" t="s">
        <v>75</v>
      </c>
      <c r="D68" s="8" t="s">
        <v>7</v>
      </c>
      <c r="E68" s="8" t="s">
        <v>46</v>
      </c>
      <c r="F68" s="10">
        <v>33</v>
      </c>
      <c r="G68" s="7" t="s">
        <v>147</v>
      </c>
      <c r="H68" s="7" t="s">
        <v>148</v>
      </c>
    </row>
  </sheetData>
  <autoFilter ref="A4:H68" xr:uid="{00000000-0009-0000-0000-000002000000}"/>
  <mergeCells count="2">
    <mergeCell ref="A2:H2"/>
    <mergeCell ref="A1:H1"/>
  </mergeCells>
  <conditionalFormatting sqref="C5:C68">
    <cfRule type="expression" dxfId="2" priority="1">
      <formula>C5="Alta"</formula>
    </cfRule>
    <cfRule type="expression" dxfId="1" priority="2">
      <formula>C5="Media"</formula>
    </cfRule>
  </conditionalFormatting>
  <pageMargins left="0.25" right="0.2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F429-AFD7-452B-A0C7-EE1755DE517A}">
  <sheetPr>
    <pageSetUpPr fitToPage="1"/>
  </sheetPr>
  <dimension ref="A1:J82"/>
  <sheetViews>
    <sheetView workbookViewId="0"/>
  </sheetViews>
  <sheetFormatPr baseColWidth="10" defaultRowHeight="14.5" x14ac:dyDescent="0.35"/>
  <cols>
    <col min="1" max="1" width="11.6328125" customWidth="1"/>
    <col min="2" max="2" width="29.6328125" customWidth="1"/>
    <col min="3" max="3" width="34.6328125" customWidth="1"/>
    <col min="4" max="4" width="13.6328125" customWidth="1"/>
    <col min="5" max="9" width="14.6328125" customWidth="1"/>
    <col min="10" max="10" width="27.6328125" customWidth="1"/>
  </cols>
  <sheetData>
    <row r="1" spans="1:10" ht="23.5" x14ac:dyDescent="0.55000000000000004">
      <c r="A1" s="41" t="s">
        <v>304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35">
      <c r="A2" s="42" t="s">
        <v>305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x14ac:dyDescent="0.35">
      <c r="A4" s="16" t="s">
        <v>306</v>
      </c>
      <c r="B4" s="16" t="s">
        <v>8</v>
      </c>
      <c r="C4" s="16" t="s">
        <v>69</v>
      </c>
      <c r="D4" s="16" t="s">
        <v>1</v>
      </c>
      <c r="E4" s="16" t="s">
        <v>307</v>
      </c>
      <c r="F4" s="16" t="s">
        <v>308</v>
      </c>
      <c r="G4" s="16" t="s">
        <v>309</v>
      </c>
      <c r="H4" s="16" t="s">
        <v>4</v>
      </c>
      <c r="I4" s="16" t="s">
        <v>310</v>
      </c>
      <c r="J4" s="16" t="s">
        <v>15</v>
      </c>
    </row>
    <row r="5" spans="1:10" x14ac:dyDescent="0.35">
      <c r="A5" s="15" t="s">
        <v>209</v>
      </c>
      <c r="B5" s="15"/>
      <c r="C5" s="15"/>
      <c r="D5" s="15"/>
      <c r="E5" s="25"/>
      <c r="F5" s="18"/>
      <c r="G5" s="18"/>
      <c r="H5" s="18"/>
      <c r="I5" s="25"/>
      <c r="J5" s="15"/>
    </row>
    <row r="6" spans="1:10" x14ac:dyDescent="0.35">
      <c r="A6" s="26" t="s">
        <v>209</v>
      </c>
      <c r="B6" s="15"/>
      <c r="C6" s="15"/>
      <c r="D6" s="15"/>
      <c r="E6" s="25"/>
      <c r="F6" s="18"/>
      <c r="G6" s="18"/>
      <c r="H6" s="18"/>
      <c r="I6" s="25"/>
      <c r="J6" s="15"/>
    </row>
    <row r="7" spans="1:10" x14ac:dyDescent="0.35">
      <c r="A7" s="15" t="s">
        <v>209</v>
      </c>
      <c r="B7" s="15"/>
      <c r="C7" s="15"/>
      <c r="D7" s="15"/>
      <c r="E7" s="25"/>
      <c r="F7" s="18"/>
      <c r="G7" s="18"/>
      <c r="H7" s="18"/>
      <c r="I7" s="25"/>
      <c r="J7" s="15"/>
    </row>
    <row r="8" spans="1:10" x14ac:dyDescent="0.35">
      <c r="A8" s="26" t="s">
        <v>213</v>
      </c>
      <c r="B8" s="15"/>
      <c r="C8" s="15"/>
      <c r="D8" s="15"/>
      <c r="E8" s="25"/>
      <c r="F8" s="18"/>
      <c r="G8" s="18"/>
      <c r="H8" s="18"/>
      <c r="I8" s="25"/>
      <c r="J8" s="15"/>
    </row>
    <row r="9" spans="1:10" x14ac:dyDescent="0.35">
      <c r="A9" s="15" t="s">
        <v>209</v>
      </c>
      <c r="B9" s="15"/>
      <c r="C9" s="15"/>
      <c r="D9" s="15"/>
      <c r="E9" s="25"/>
      <c r="F9" s="18"/>
      <c r="G9" s="18"/>
      <c r="H9" s="18"/>
      <c r="I9" s="25"/>
      <c r="J9" s="15"/>
    </row>
    <row r="10" spans="1:10" x14ac:dyDescent="0.35">
      <c r="A10" s="26" t="s">
        <v>213</v>
      </c>
      <c r="B10" s="15"/>
      <c r="C10" s="15"/>
      <c r="D10" s="15"/>
      <c r="E10" s="25"/>
      <c r="F10" s="18"/>
      <c r="G10" s="18"/>
      <c r="H10" s="18"/>
      <c r="I10" s="25"/>
      <c r="J10" s="15"/>
    </row>
    <row r="11" spans="1:10" x14ac:dyDescent="0.35">
      <c r="A11" s="15" t="s">
        <v>209</v>
      </c>
      <c r="B11" s="15"/>
      <c r="C11" s="15"/>
      <c r="D11" s="15"/>
      <c r="E11" s="25"/>
      <c r="F11" s="18"/>
      <c r="G11" s="18"/>
      <c r="H11" s="18"/>
      <c r="I11" s="25"/>
      <c r="J11" s="15"/>
    </row>
    <row r="12" spans="1:10" x14ac:dyDescent="0.35">
      <c r="A12" s="26" t="s">
        <v>209</v>
      </c>
      <c r="B12" s="15"/>
      <c r="C12" s="15"/>
      <c r="D12" s="15"/>
      <c r="E12" s="25"/>
      <c r="F12" s="18"/>
      <c r="G12" s="18"/>
      <c r="H12" s="18"/>
      <c r="I12" s="25"/>
      <c r="J12" s="15"/>
    </row>
    <row r="13" spans="1:10" x14ac:dyDescent="0.35">
      <c r="A13" s="15" t="s">
        <v>209</v>
      </c>
      <c r="B13" s="15"/>
      <c r="C13" s="15"/>
      <c r="D13" s="15"/>
      <c r="E13" s="25"/>
      <c r="F13" s="18"/>
      <c r="G13" s="18"/>
      <c r="H13" s="18"/>
      <c r="I13" s="25"/>
      <c r="J13" s="15"/>
    </row>
    <row r="14" spans="1:10" x14ac:dyDescent="0.35">
      <c r="A14" s="26" t="s">
        <v>209</v>
      </c>
      <c r="B14" s="15"/>
      <c r="C14" s="15"/>
      <c r="D14" s="15"/>
      <c r="E14" s="25"/>
      <c r="F14" s="18"/>
      <c r="G14" s="18"/>
      <c r="H14" s="18"/>
      <c r="I14" s="25"/>
      <c r="J14" s="15"/>
    </row>
    <row r="15" spans="1:10" x14ac:dyDescent="0.35">
      <c r="A15" s="15" t="s">
        <v>209</v>
      </c>
      <c r="B15" s="15"/>
      <c r="C15" s="15"/>
      <c r="D15" s="15"/>
      <c r="E15" s="25"/>
      <c r="F15" s="18"/>
      <c r="G15" s="18"/>
      <c r="H15" s="18"/>
      <c r="I15" s="25"/>
      <c r="J15" s="15"/>
    </row>
    <row r="16" spans="1:10" x14ac:dyDescent="0.35">
      <c r="A16" s="26" t="s">
        <v>209</v>
      </c>
      <c r="B16" s="15"/>
      <c r="C16" s="15"/>
      <c r="D16" s="15"/>
      <c r="E16" s="25"/>
      <c r="F16" s="18"/>
      <c r="G16" s="18"/>
      <c r="H16" s="18"/>
      <c r="I16" s="25"/>
      <c r="J16" s="15"/>
    </row>
    <row r="17" spans="1:10" x14ac:dyDescent="0.35">
      <c r="A17" s="15" t="s">
        <v>209</v>
      </c>
      <c r="B17" s="15"/>
      <c r="C17" s="15"/>
      <c r="D17" s="15"/>
      <c r="E17" s="25"/>
      <c r="F17" s="18"/>
      <c r="G17" s="18"/>
      <c r="H17" s="18"/>
      <c r="I17" s="25"/>
      <c r="J17" s="15"/>
    </row>
    <row r="18" spans="1:10" x14ac:dyDescent="0.35">
      <c r="A18" s="26" t="s">
        <v>209</v>
      </c>
      <c r="B18" s="15"/>
      <c r="C18" s="15"/>
      <c r="D18" s="15"/>
      <c r="E18" s="25"/>
      <c r="F18" s="18"/>
      <c r="G18" s="18"/>
      <c r="H18" s="18"/>
      <c r="I18" s="25"/>
      <c r="J18" s="15"/>
    </row>
    <row r="19" spans="1:10" x14ac:dyDescent="0.35">
      <c r="A19" s="15" t="s">
        <v>209</v>
      </c>
      <c r="B19" s="15"/>
      <c r="C19" s="15"/>
      <c r="D19" s="15"/>
      <c r="E19" s="25"/>
      <c r="F19" s="18"/>
      <c r="G19" s="18"/>
      <c r="H19" s="18"/>
      <c r="I19" s="25"/>
      <c r="J19" s="15"/>
    </row>
    <row r="20" spans="1:10" x14ac:dyDescent="0.35">
      <c r="A20" s="26" t="s">
        <v>209</v>
      </c>
      <c r="B20" s="15"/>
      <c r="C20" s="15"/>
      <c r="D20" s="15"/>
      <c r="E20" s="25"/>
      <c r="F20" s="18"/>
      <c r="G20" s="18"/>
      <c r="H20" s="18"/>
      <c r="I20" s="25"/>
      <c r="J20" s="15"/>
    </row>
    <row r="21" spans="1:10" x14ac:dyDescent="0.35">
      <c r="A21" s="15" t="s">
        <v>209</v>
      </c>
      <c r="B21" s="15"/>
      <c r="C21" s="15"/>
      <c r="D21" s="15"/>
      <c r="E21" s="25"/>
      <c r="F21" s="18"/>
      <c r="G21" s="18"/>
      <c r="H21" s="18"/>
      <c r="I21" s="25"/>
      <c r="J21" s="15"/>
    </row>
    <row r="22" spans="1:10" x14ac:dyDescent="0.35">
      <c r="A22" s="26" t="s">
        <v>209</v>
      </c>
      <c r="B22" s="15"/>
      <c r="C22" s="15"/>
      <c r="D22" s="15"/>
      <c r="E22" s="25"/>
      <c r="F22" s="18"/>
      <c r="G22" s="18"/>
      <c r="H22" s="18"/>
      <c r="I22" s="25"/>
      <c r="J22" s="15"/>
    </row>
    <row r="23" spans="1:10" x14ac:dyDescent="0.35">
      <c r="A23" s="15" t="s">
        <v>213</v>
      </c>
      <c r="B23" s="15"/>
      <c r="C23" s="15"/>
      <c r="D23" s="15"/>
      <c r="E23" s="25"/>
      <c r="F23" s="18"/>
      <c r="G23" s="18"/>
      <c r="H23" s="18"/>
      <c r="I23" s="25"/>
      <c r="J23" s="15"/>
    </row>
    <row r="24" spans="1:10" x14ac:dyDescent="0.35">
      <c r="A24" s="26" t="s">
        <v>209</v>
      </c>
      <c r="B24" s="15"/>
      <c r="C24" s="15"/>
      <c r="D24" s="15"/>
      <c r="E24" s="25"/>
      <c r="F24" s="18"/>
      <c r="G24" s="18"/>
      <c r="H24" s="18"/>
      <c r="I24" s="25"/>
      <c r="J24" s="15"/>
    </row>
    <row r="25" spans="1:10" x14ac:dyDescent="0.35">
      <c r="A25" s="15" t="s">
        <v>213</v>
      </c>
      <c r="B25" s="15"/>
      <c r="C25" s="15"/>
      <c r="D25" s="15"/>
      <c r="E25" s="25"/>
      <c r="F25" s="18"/>
      <c r="G25" s="18"/>
      <c r="H25" s="18"/>
      <c r="I25" s="25"/>
      <c r="J25" s="15"/>
    </row>
    <row r="26" spans="1:10" x14ac:dyDescent="0.35">
      <c r="A26" s="26" t="s">
        <v>209</v>
      </c>
      <c r="B26" s="15"/>
      <c r="C26" s="15"/>
      <c r="D26" s="15"/>
      <c r="E26" s="25"/>
      <c r="F26" s="18"/>
      <c r="G26" s="18"/>
      <c r="H26" s="18"/>
      <c r="I26" s="25"/>
      <c r="J26" s="15"/>
    </row>
    <row r="27" spans="1:10" x14ac:dyDescent="0.35">
      <c r="A27" s="15" t="s">
        <v>213</v>
      </c>
      <c r="B27" s="15"/>
      <c r="C27" s="15"/>
      <c r="D27" s="15"/>
      <c r="E27" s="25"/>
      <c r="F27" s="18"/>
      <c r="G27" s="18"/>
      <c r="H27" s="18"/>
      <c r="I27" s="25"/>
      <c r="J27" s="15"/>
    </row>
    <row r="28" spans="1:10" x14ac:dyDescent="0.35">
      <c r="A28" s="26" t="s">
        <v>209</v>
      </c>
      <c r="B28" s="15"/>
      <c r="C28" s="15"/>
      <c r="D28" s="15"/>
      <c r="E28" s="25"/>
      <c r="F28" s="18"/>
      <c r="G28" s="18"/>
      <c r="H28" s="18"/>
      <c r="I28" s="25"/>
      <c r="J28" s="15"/>
    </row>
    <row r="29" spans="1:10" x14ac:dyDescent="0.35">
      <c r="A29" s="15" t="s">
        <v>209</v>
      </c>
      <c r="B29" s="15"/>
      <c r="C29" s="15"/>
      <c r="D29" s="15"/>
      <c r="E29" s="25"/>
      <c r="F29" s="18"/>
      <c r="G29" s="18"/>
      <c r="H29" s="18"/>
      <c r="I29" s="25"/>
      <c r="J29" s="15"/>
    </row>
    <row r="30" spans="1:10" x14ac:dyDescent="0.35">
      <c r="A30" s="26" t="s">
        <v>213</v>
      </c>
      <c r="B30" s="15"/>
      <c r="C30" s="15"/>
      <c r="D30" s="15"/>
      <c r="E30" s="25"/>
      <c r="F30" s="18"/>
      <c r="G30" s="18"/>
      <c r="H30" s="18"/>
      <c r="I30" s="25"/>
      <c r="J30" s="15"/>
    </row>
    <row r="31" spans="1:10" x14ac:dyDescent="0.35">
      <c r="A31" s="15" t="s">
        <v>209</v>
      </c>
      <c r="B31" s="15"/>
      <c r="C31" s="15"/>
      <c r="D31" s="15"/>
      <c r="E31" s="25"/>
      <c r="F31" s="18"/>
      <c r="G31" s="18"/>
      <c r="H31" s="18"/>
      <c r="I31" s="25"/>
      <c r="J31" s="15"/>
    </row>
    <row r="32" spans="1:10" x14ac:dyDescent="0.35">
      <c r="A32" s="26" t="s">
        <v>213</v>
      </c>
      <c r="B32" s="15"/>
      <c r="C32" s="15"/>
      <c r="D32" s="15"/>
      <c r="E32" s="25"/>
      <c r="F32" s="18"/>
      <c r="G32" s="18"/>
      <c r="H32" s="18"/>
      <c r="I32" s="25"/>
      <c r="J32" s="15"/>
    </row>
    <row r="33" spans="1:10" x14ac:dyDescent="0.35">
      <c r="A33" s="15" t="s">
        <v>209</v>
      </c>
      <c r="B33" s="15"/>
      <c r="C33" s="15"/>
      <c r="D33" s="15"/>
      <c r="E33" s="25"/>
      <c r="F33" s="18"/>
      <c r="G33" s="18"/>
      <c r="H33" s="18"/>
      <c r="I33" s="25"/>
      <c r="J33" s="15"/>
    </row>
    <row r="34" spans="1:10" x14ac:dyDescent="0.35">
      <c r="A34" s="26" t="s">
        <v>213</v>
      </c>
      <c r="B34" s="15"/>
      <c r="C34" s="15"/>
      <c r="D34" s="15"/>
      <c r="E34" s="25"/>
      <c r="F34" s="18"/>
      <c r="G34" s="18"/>
      <c r="H34" s="18"/>
      <c r="I34" s="25"/>
      <c r="J34" s="15"/>
    </row>
    <row r="35" spans="1:10" x14ac:dyDescent="0.35">
      <c r="A35" s="15" t="s">
        <v>209</v>
      </c>
      <c r="B35" s="15"/>
      <c r="C35" s="15"/>
      <c r="D35" s="15"/>
      <c r="E35" s="25"/>
      <c r="F35" s="18"/>
      <c r="G35" s="18"/>
      <c r="H35" s="18"/>
      <c r="I35" s="25"/>
      <c r="J35" s="15"/>
    </row>
    <row r="36" spans="1:10" x14ac:dyDescent="0.35">
      <c r="A36" s="26" t="s">
        <v>209</v>
      </c>
      <c r="B36" s="15"/>
      <c r="C36" s="15"/>
      <c r="D36" s="15"/>
      <c r="E36" s="25"/>
      <c r="F36" s="18"/>
      <c r="G36" s="18"/>
      <c r="H36" s="18"/>
      <c r="I36" s="25"/>
      <c r="J36" s="15"/>
    </row>
    <row r="37" spans="1:10" x14ac:dyDescent="0.35">
      <c r="A37" s="15" t="s">
        <v>209</v>
      </c>
      <c r="B37" s="15"/>
      <c r="C37" s="15"/>
      <c r="D37" s="15"/>
      <c r="E37" s="25"/>
      <c r="F37" s="18"/>
      <c r="G37" s="18"/>
      <c r="H37" s="18"/>
      <c r="I37" s="25"/>
      <c r="J37" s="15"/>
    </row>
    <row r="38" spans="1:10" x14ac:dyDescent="0.35">
      <c r="A38" s="26" t="s">
        <v>209</v>
      </c>
      <c r="B38" s="15"/>
      <c r="C38" s="15"/>
      <c r="D38" s="15"/>
      <c r="E38" s="25"/>
      <c r="F38" s="18"/>
      <c r="G38" s="18"/>
      <c r="H38" s="18"/>
      <c r="I38" s="25"/>
      <c r="J38" s="15"/>
    </row>
    <row r="39" spans="1:10" x14ac:dyDescent="0.35">
      <c r="A39" s="15" t="s">
        <v>209</v>
      </c>
      <c r="B39" s="15"/>
      <c r="C39" s="15"/>
      <c r="D39" s="15"/>
      <c r="E39" s="25"/>
      <c r="F39" s="18"/>
      <c r="G39" s="18"/>
      <c r="H39" s="18"/>
      <c r="I39" s="25"/>
      <c r="J39" s="15"/>
    </row>
    <row r="40" spans="1:10" x14ac:dyDescent="0.35">
      <c r="A40" s="26" t="s">
        <v>209</v>
      </c>
      <c r="B40" s="15"/>
      <c r="C40" s="15"/>
      <c r="D40" s="15"/>
      <c r="E40" s="25"/>
      <c r="F40" s="18"/>
      <c r="G40" s="18"/>
      <c r="H40" s="18"/>
      <c r="I40" s="25"/>
      <c r="J40" s="15"/>
    </row>
    <row r="41" spans="1:10" x14ac:dyDescent="0.35">
      <c r="A41" s="15" t="s">
        <v>209</v>
      </c>
      <c r="B41" s="15"/>
      <c r="C41" s="15"/>
      <c r="D41" s="15"/>
      <c r="E41" s="25"/>
      <c r="F41" s="18"/>
      <c r="G41" s="18"/>
      <c r="H41" s="18"/>
      <c r="I41" s="25"/>
      <c r="J41" s="15"/>
    </row>
    <row r="42" spans="1:10" x14ac:dyDescent="0.35">
      <c r="A42" s="26" t="s">
        <v>213</v>
      </c>
      <c r="B42" s="15"/>
      <c r="C42" s="15"/>
      <c r="D42" s="15"/>
      <c r="E42" s="25"/>
      <c r="F42" s="18"/>
      <c r="G42" s="18"/>
      <c r="H42" s="18"/>
      <c r="I42" s="25"/>
      <c r="J42" s="15"/>
    </row>
    <row r="43" spans="1:10" x14ac:dyDescent="0.35">
      <c r="A43" s="15" t="s">
        <v>209</v>
      </c>
      <c r="B43" s="15"/>
      <c r="C43" s="15"/>
      <c r="D43" s="15"/>
      <c r="E43" s="25"/>
      <c r="F43" s="18"/>
      <c r="G43" s="18"/>
      <c r="H43" s="18"/>
      <c r="I43" s="25"/>
      <c r="J43" s="15"/>
    </row>
    <row r="44" spans="1:10" x14ac:dyDescent="0.35">
      <c r="A44" s="26" t="s">
        <v>213</v>
      </c>
      <c r="B44" s="15"/>
      <c r="C44" s="15"/>
      <c r="D44" s="15"/>
      <c r="E44" s="25"/>
      <c r="F44" s="18"/>
      <c r="G44" s="18"/>
      <c r="H44" s="18"/>
      <c r="I44" s="25"/>
      <c r="J44" s="15"/>
    </row>
    <row r="45" spans="1:10" x14ac:dyDescent="0.35">
      <c r="A45" s="15" t="s">
        <v>209</v>
      </c>
      <c r="B45" s="15"/>
      <c r="C45" s="15"/>
      <c r="D45" s="15"/>
      <c r="E45" s="25"/>
      <c r="F45" s="18"/>
      <c r="G45" s="18"/>
      <c r="H45" s="18"/>
      <c r="I45" s="25"/>
      <c r="J45" s="15"/>
    </row>
    <row r="46" spans="1:10" x14ac:dyDescent="0.35">
      <c r="A46" s="26" t="s">
        <v>209</v>
      </c>
      <c r="B46" s="15"/>
      <c r="C46" s="15"/>
      <c r="D46" s="15"/>
      <c r="E46" s="25"/>
      <c r="F46" s="18"/>
      <c r="G46" s="18"/>
      <c r="H46" s="18"/>
      <c r="I46" s="25"/>
      <c r="J46" s="15"/>
    </row>
    <row r="47" spans="1:10" x14ac:dyDescent="0.35">
      <c r="A47" s="15" t="s">
        <v>209</v>
      </c>
      <c r="B47" s="15"/>
      <c r="C47" s="15"/>
      <c r="D47" s="15"/>
      <c r="E47" s="25"/>
      <c r="F47" s="18"/>
      <c r="G47" s="18"/>
      <c r="H47" s="18"/>
      <c r="I47" s="25"/>
      <c r="J47" s="15"/>
    </row>
    <row r="48" spans="1:10" x14ac:dyDescent="0.35">
      <c r="A48" s="26" t="s">
        <v>209</v>
      </c>
      <c r="B48" s="15"/>
      <c r="C48" s="15"/>
      <c r="D48" s="15"/>
      <c r="E48" s="25"/>
      <c r="F48" s="18"/>
      <c r="G48" s="18"/>
      <c r="H48" s="18"/>
      <c r="I48" s="25"/>
      <c r="J48" s="15"/>
    </row>
    <row r="49" spans="1:10" x14ac:dyDescent="0.35">
      <c r="A49" s="15" t="s">
        <v>209</v>
      </c>
      <c r="B49" s="15"/>
      <c r="C49" s="15"/>
      <c r="D49" s="15"/>
      <c r="E49" s="25"/>
      <c r="F49" s="18"/>
      <c r="G49" s="18"/>
      <c r="H49" s="18"/>
      <c r="I49" s="25"/>
      <c r="J49" s="15"/>
    </row>
    <row r="50" spans="1:10" x14ac:dyDescent="0.35">
      <c r="A50" s="26" t="s">
        <v>213</v>
      </c>
      <c r="B50" s="15"/>
      <c r="C50" s="15"/>
      <c r="D50" s="15"/>
      <c r="E50" s="25"/>
      <c r="F50" s="18"/>
      <c r="G50" s="18"/>
      <c r="H50" s="18"/>
      <c r="I50" s="25"/>
      <c r="J50" s="15"/>
    </row>
    <row r="51" spans="1:10" x14ac:dyDescent="0.35">
      <c r="A51" s="15" t="s">
        <v>209</v>
      </c>
      <c r="B51" s="15"/>
      <c r="C51" s="15"/>
      <c r="D51" s="15"/>
      <c r="E51" s="25"/>
      <c r="F51" s="18"/>
      <c r="G51" s="18"/>
      <c r="H51" s="18"/>
      <c r="I51" s="25"/>
      <c r="J51" s="15"/>
    </row>
    <row r="52" spans="1:10" x14ac:dyDescent="0.35">
      <c r="A52" s="26" t="s">
        <v>209</v>
      </c>
      <c r="B52" s="15"/>
      <c r="C52" s="15"/>
      <c r="D52" s="15"/>
      <c r="E52" s="25"/>
      <c r="F52" s="18"/>
      <c r="G52" s="18"/>
      <c r="H52" s="18"/>
      <c r="I52" s="25"/>
      <c r="J52" s="15"/>
    </row>
    <row r="53" spans="1:10" x14ac:dyDescent="0.35">
      <c r="A53" s="15" t="s">
        <v>209</v>
      </c>
      <c r="B53" s="15"/>
      <c r="C53" s="15"/>
      <c r="D53" s="15"/>
      <c r="E53" s="25"/>
      <c r="F53" s="18"/>
      <c r="G53" s="18"/>
      <c r="H53" s="18"/>
      <c r="I53" s="25"/>
      <c r="J53" s="15"/>
    </row>
    <row r="54" spans="1:10" x14ac:dyDescent="0.35">
      <c r="A54" s="26" t="s">
        <v>209</v>
      </c>
      <c r="B54" s="15"/>
      <c r="C54" s="15"/>
      <c r="D54" s="15"/>
      <c r="E54" s="25"/>
      <c r="F54" s="18"/>
      <c r="G54" s="18"/>
      <c r="H54" s="18"/>
      <c r="I54" s="25"/>
      <c r="J54" s="15"/>
    </row>
    <row r="55" spans="1:10" x14ac:dyDescent="0.35">
      <c r="A55" s="15" t="s">
        <v>209</v>
      </c>
      <c r="B55" s="15"/>
      <c r="C55" s="15"/>
      <c r="D55" s="15"/>
      <c r="E55" s="25"/>
      <c r="F55" s="18"/>
      <c r="G55" s="18"/>
      <c r="H55" s="18"/>
      <c r="I55" s="25"/>
      <c r="J55" s="15"/>
    </row>
    <row r="56" spans="1:10" x14ac:dyDescent="0.35">
      <c r="A56" s="26" t="s">
        <v>213</v>
      </c>
      <c r="B56" s="15"/>
      <c r="C56" s="15"/>
      <c r="D56" s="15"/>
      <c r="E56" s="25"/>
      <c r="F56" s="18"/>
      <c r="G56" s="18"/>
      <c r="H56" s="18"/>
      <c r="I56" s="25"/>
      <c r="J56" s="15"/>
    </row>
    <row r="57" spans="1:10" x14ac:dyDescent="0.35">
      <c r="A57" s="15" t="s">
        <v>209</v>
      </c>
      <c r="B57" s="15"/>
      <c r="C57" s="15"/>
      <c r="D57" s="15"/>
      <c r="E57" s="25"/>
      <c r="F57" s="18"/>
      <c r="G57" s="18"/>
      <c r="H57" s="18"/>
      <c r="I57" s="25"/>
      <c r="J57" s="15"/>
    </row>
    <row r="58" spans="1:10" x14ac:dyDescent="0.35">
      <c r="A58" s="26" t="s">
        <v>209</v>
      </c>
      <c r="B58" s="15"/>
      <c r="C58" s="15"/>
      <c r="D58" s="15"/>
      <c r="E58" s="25"/>
      <c r="F58" s="18"/>
      <c r="G58" s="18"/>
      <c r="H58" s="18"/>
      <c r="I58" s="25"/>
      <c r="J58" s="15"/>
    </row>
    <row r="59" spans="1:10" x14ac:dyDescent="0.35">
      <c r="A59" s="15" t="s">
        <v>209</v>
      </c>
      <c r="B59" s="15"/>
      <c r="C59" s="15"/>
      <c r="D59" s="15"/>
      <c r="E59" s="25"/>
      <c r="F59" s="18"/>
      <c r="G59" s="18"/>
      <c r="H59" s="18"/>
      <c r="I59" s="25"/>
      <c r="J59" s="15"/>
    </row>
    <row r="60" spans="1:10" x14ac:dyDescent="0.35">
      <c r="A60" s="26" t="s">
        <v>209</v>
      </c>
      <c r="B60" s="15"/>
      <c r="C60" s="15"/>
      <c r="D60" s="15"/>
      <c r="E60" s="25"/>
      <c r="F60" s="18"/>
      <c r="G60" s="18"/>
      <c r="H60" s="18"/>
      <c r="I60" s="25"/>
      <c r="J60" s="15"/>
    </row>
    <row r="61" spans="1:10" x14ac:dyDescent="0.35">
      <c r="A61" s="15" t="s">
        <v>213</v>
      </c>
      <c r="B61" s="15"/>
      <c r="C61" s="15"/>
      <c r="D61" s="15"/>
      <c r="E61" s="25"/>
      <c r="F61" s="18"/>
      <c r="G61" s="18"/>
      <c r="H61" s="18"/>
      <c r="I61" s="25"/>
      <c r="J61" s="15"/>
    </row>
    <row r="62" spans="1:10" x14ac:dyDescent="0.35">
      <c r="A62" s="26" t="s">
        <v>209</v>
      </c>
      <c r="B62" s="15"/>
      <c r="C62" s="15"/>
      <c r="D62" s="15"/>
      <c r="E62" s="25"/>
      <c r="F62" s="18"/>
      <c r="G62" s="18"/>
      <c r="H62" s="18"/>
      <c r="I62" s="25"/>
      <c r="J62" s="15"/>
    </row>
    <row r="63" spans="1:10" x14ac:dyDescent="0.35">
      <c r="A63" s="15" t="s">
        <v>213</v>
      </c>
      <c r="B63" s="15"/>
      <c r="C63" s="15"/>
      <c r="D63" s="15"/>
      <c r="E63" s="25"/>
      <c r="F63" s="18"/>
      <c r="G63" s="18"/>
      <c r="H63" s="18"/>
      <c r="I63" s="25"/>
      <c r="J63" s="15"/>
    </row>
    <row r="64" spans="1:10" x14ac:dyDescent="0.35">
      <c r="A64" s="26" t="s">
        <v>209</v>
      </c>
      <c r="B64" s="15"/>
      <c r="C64" s="15"/>
      <c r="D64" s="15"/>
      <c r="E64" s="25"/>
      <c r="F64" s="18"/>
      <c r="G64" s="18"/>
      <c r="H64" s="18"/>
      <c r="I64" s="25"/>
      <c r="J64" s="15"/>
    </row>
    <row r="65" spans="1:10" x14ac:dyDescent="0.35">
      <c r="A65" s="15" t="s">
        <v>213</v>
      </c>
      <c r="B65" s="15"/>
      <c r="C65" s="15"/>
      <c r="D65" s="15"/>
      <c r="E65" s="25"/>
      <c r="F65" s="18"/>
      <c r="G65" s="18"/>
      <c r="H65" s="18"/>
      <c r="I65" s="25"/>
      <c r="J65" s="15"/>
    </row>
    <row r="66" spans="1:10" x14ac:dyDescent="0.35">
      <c r="A66" s="26" t="s">
        <v>209</v>
      </c>
      <c r="B66" s="15"/>
      <c r="C66" s="15"/>
      <c r="D66" s="15"/>
      <c r="E66" s="25"/>
      <c r="F66" s="18"/>
      <c r="G66" s="18"/>
      <c r="H66" s="18"/>
      <c r="I66" s="25"/>
      <c r="J66" s="15"/>
    </row>
    <row r="67" spans="1:10" x14ac:dyDescent="0.35">
      <c r="A67" s="15" t="s">
        <v>213</v>
      </c>
      <c r="B67" s="15"/>
      <c r="C67" s="15"/>
      <c r="D67" s="15"/>
      <c r="E67" s="25"/>
      <c r="F67" s="18"/>
      <c r="G67" s="18"/>
      <c r="H67" s="18"/>
      <c r="I67" s="25"/>
      <c r="J67" s="15"/>
    </row>
    <row r="68" spans="1:10" x14ac:dyDescent="0.35">
      <c r="A68" s="26" t="s">
        <v>209</v>
      </c>
      <c r="B68" s="15"/>
      <c r="C68" s="15"/>
      <c r="D68" s="15"/>
      <c r="E68" s="25"/>
      <c r="F68" s="18"/>
      <c r="G68" s="18"/>
      <c r="H68" s="18"/>
      <c r="I68" s="25"/>
      <c r="J68" s="15"/>
    </row>
    <row r="69" spans="1:10" x14ac:dyDescent="0.35">
      <c r="A69" s="15" t="s">
        <v>209</v>
      </c>
      <c r="B69" s="15"/>
      <c r="C69" s="15"/>
      <c r="D69" s="15"/>
      <c r="E69" s="25"/>
      <c r="F69" s="18"/>
      <c r="G69" s="18"/>
      <c r="H69" s="18"/>
      <c r="I69" s="25"/>
      <c r="J69" s="15"/>
    </row>
    <row r="70" spans="1:10" x14ac:dyDescent="0.35">
      <c r="A70" s="26" t="s">
        <v>213</v>
      </c>
      <c r="B70" s="15"/>
      <c r="C70" s="15"/>
      <c r="D70" s="15"/>
      <c r="E70" s="25"/>
      <c r="F70" s="18"/>
      <c r="G70" s="18"/>
      <c r="H70" s="18"/>
      <c r="I70" s="25"/>
      <c r="J70" s="15"/>
    </row>
    <row r="71" spans="1:10" x14ac:dyDescent="0.35">
      <c r="A71" s="15" t="s">
        <v>213</v>
      </c>
      <c r="B71" s="15"/>
      <c r="C71" s="15"/>
      <c r="D71" s="15"/>
      <c r="E71" s="25"/>
      <c r="F71" s="18"/>
      <c r="G71" s="18"/>
      <c r="H71" s="18"/>
      <c r="I71" s="25"/>
      <c r="J71" s="15"/>
    </row>
    <row r="72" spans="1:10" x14ac:dyDescent="0.35">
      <c r="A72" s="26" t="s">
        <v>209</v>
      </c>
      <c r="B72" s="15"/>
      <c r="C72" s="15"/>
      <c r="D72" s="15"/>
      <c r="E72" s="25"/>
      <c r="F72" s="18"/>
      <c r="G72" s="18"/>
      <c r="H72" s="18"/>
      <c r="I72" s="25"/>
      <c r="J72" s="15"/>
    </row>
    <row r="73" spans="1:10" x14ac:dyDescent="0.35">
      <c r="A73" s="15" t="s">
        <v>209</v>
      </c>
      <c r="B73" s="15"/>
      <c r="C73" s="15"/>
      <c r="D73" s="15"/>
      <c r="E73" s="25"/>
      <c r="F73" s="18"/>
      <c r="G73" s="18"/>
      <c r="H73" s="18"/>
      <c r="I73" s="25"/>
      <c r="J73" s="15"/>
    </row>
    <row r="74" spans="1:10" x14ac:dyDescent="0.35">
      <c r="A74" s="26" t="s">
        <v>213</v>
      </c>
      <c r="B74" s="15"/>
      <c r="C74" s="15"/>
      <c r="D74" s="15"/>
      <c r="E74" s="25"/>
      <c r="F74" s="18"/>
      <c r="G74" s="18"/>
      <c r="H74" s="18"/>
      <c r="I74" s="25"/>
      <c r="J74" s="15"/>
    </row>
    <row r="75" spans="1:10" x14ac:dyDescent="0.35">
      <c r="A75" s="15" t="s">
        <v>209</v>
      </c>
      <c r="B75" s="15"/>
      <c r="C75" s="15"/>
      <c r="D75" s="15"/>
      <c r="E75" s="25"/>
      <c r="F75" s="18"/>
      <c r="G75" s="18"/>
      <c r="H75" s="18"/>
      <c r="I75" s="25"/>
      <c r="J75" s="15"/>
    </row>
    <row r="76" spans="1:10" x14ac:dyDescent="0.35">
      <c r="A76" s="26" t="s">
        <v>213</v>
      </c>
      <c r="B76" s="15"/>
      <c r="C76" s="15"/>
      <c r="D76" s="15"/>
      <c r="E76" s="25"/>
      <c r="F76" s="18"/>
      <c r="G76" s="18"/>
      <c r="H76" s="18"/>
      <c r="I76" s="25"/>
      <c r="J76" s="15"/>
    </row>
    <row r="77" spans="1:10" x14ac:dyDescent="0.35">
      <c r="A77" s="15" t="s">
        <v>209</v>
      </c>
      <c r="B77" s="15"/>
      <c r="C77" s="15"/>
      <c r="D77" s="15"/>
      <c r="E77" s="25"/>
      <c r="F77" s="18"/>
      <c r="G77" s="18"/>
      <c r="H77" s="18"/>
      <c r="I77" s="25"/>
      <c r="J77" s="15"/>
    </row>
    <row r="78" spans="1:10" x14ac:dyDescent="0.35">
      <c r="A78" s="26" t="s">
        <v>209</v>
      </c>
      <c r="B78" s="15"/>
      <c r="C78" s="15"/>
      <c r="D78" s="15"/>
      <c r="E78" s="25"/>
      <c r="F78" s="18"/>
      <c r="G78" s="18"/>
      <c r="H78" s="18"/>
      <c r="I78" s="25"/>
      <c r="J78" s="15"/>
    </row>
    <row r="79" spans="1:10" x14ac:dyDescent="0.35">
      <c r="A79" s="15" t="s">
        <v>209</v>
      </c>
      <c r="B79" s="15"/>
      <c r="C79" s="15"/>
      <c r="D79" s="15"/>
      <c r="E79" s="25"/>
      <c r="F79" s="18"/>
      <c r="G79" s="18"/>
      <c r="H79" s="18"/>
      <c r="I79" s="25"/>
      <c r="J79" s="15"/>
    </row>
    <row r="80" spans="1:10" x14ac:dyDescent="0.35">
      <c r="A80" s="26" t="s">
        <v>209</v>
      </c>
      <c r="B80" s="15"/>
      <c r="C80" s="15"/>
      <c r="D80" s="15"/>
      <c r="E80" s="25"/>
      <c r="F80" s="18"/>
      <c r="G80" s="18"/>
      <c r="H80" s="18"/>
      <c r="I80" s="25"/>
      <c r="J80" s="15"/>
    </row>
    <row r="81" spans="1:10" x14ac:dyDescent="0.35">
      <c r="A81" s="15" t="s">
        <v>209</v>
      </c>
      <c r="B81" s="15"/>
      <c r="C81" s="15"/>
      <c r="D81" s="15"/>
      <c r="E81" s="25"/>
      <c r="F81" s="18"/>
      <c r="G81" s="18"/>
      <c r="H81" s="18"/>
      <c r="I81" s="25"/>
      <c r="J81" s="15"/>
    </row>
    <row r="82" spans="1:10" x14ac:dyDescent="0.35">
      <c r="A82" s="26" t="s">
        <v>209</v>
      </c>
      <c r="B82" s="15"/>
      <c r="C82" s="15"/>
      <c r="D82" s="15"/>
      <c r="E82" s="25"/>
      <c r="F82" s="18"/>
      <c r="G82" s="18"/>
      <c r="H82" s="18"/>
      <c r="I82" s="25"/>
      <c r="J82" s="15"/>
    </row>
  </sheetData>
  <autoFilter ref="A4:J82" xr:uid="{F388F429-AFD7-452B-A0C7-EE1755DE517A}"/>
  <mergeCells count="2">
    <mergeCell ref="A1:J1"/>
    <mergeCell ref="A2:J2"/>
  </mergeCells>
  <pageMargins left="0.7" right="0.7" top="0.75" bottom="0.75" header="0.3" footer="0.3"/>
  <pageSetup scale="64" fitToHeight="0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06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H1"/>
    </sheetView>
  </sheetViews>
  <sheetFormatPr baseColWidth="10" defaultColWidth="8.7265625" defaultRowHeight="14.5" x14ac:dyDescent="0.35"/>
  <cols>
    <col min="1" max="1" width="38" customWidth="1"/>
    <col min="2" max="2" width="33" customWidth="1"/>
    <col min="3" max="3" width="12" customWidth="1"/>
    <col min="4" max="4" width="16" customWidth="1"/>
    <col min="5" max="6" width="9" customWidth="1"/>
    <col min="7" max="7" width="12" customWidth="1"/>
    <col min="8" max="8" width="15" customWidth="1"/>
  </cols>
  <sheetData>
    <row r="1" spans="1:8" ht="30" customHeight="1" x14ac:dyDescent="0.35">
      <c r="A1" s="46" t="s">
        <v>150</v>
      </c>
      <c r="B1" s="44"/>
      <c r="C1" s="44"/>
      <c r="D1" s="44"/>
      <c r="E1" s="44"/>
      <c r="F1" s="44"/>
      <c r="G1" s="44"/>
      <c r="H1" s="44"/>
    </row>
    <row r="2" spans="1:8" ht="30" customHeight="1" x14ac:dyDescent="0.35">
      <c r="A2" s="45" t="s">
        <v>151</v>
      </c>
      <c r="B2" s="44"/>
      <c r="C2" s="44"/>
      <c r="D2" s="44"/>
      <c r="E2" s="44"/>
      <c r="F2" s="44"/>
      <c r="G2" s="44"/>
      <c r="H2" s="44"/>
    </row>
    <row r="4" spans="1:8" x14ac:dyDescent="0.35">
      <c r="A4" s="1" t="s">
        <v>8</v>
      </c>
      <c r="B4" s="1" t="s">
        <v>69</v>
      </c>
      <c r="C4" s="2" t="s">
        <v>1</v>
      </c>
      <c r="D4" s="2" t="s">
        <v>152</v>
      </c>
      <c r="E4" s="2" t="s">
        <v>153</v>
      </c>
      <c r="F4" s="2" t="s">
        <v>154</v>
      </c>
      <c r="G4" s="1" t="s">
        <v>155</v>
      </c>
      <c r="H4" s="1" t="s">
        <v>156</v>
      </c>
    </row>
    <row r="5" spans="1:8" x14ac:dyDescent="0.35">
      <c r="A5" s="3" t="s">
        <v>17</v>
      </c>
      <c r="B5" s="3" t="s">
        <v>18</v>
      </c>
      <c r="C5" s="4" t="s">
        <v>5</v>
      </c>
      <c r="D5" s="4" t="s">
        <v>157</v>
      </c>
      <c r="E5" s="5">
        <v>1</v>
      </c>
      <c r="F5" s="5">
        <v>0</v>
      </c>
      <c r="G5" s="11">
        <f t="shared" ref="G5:G36" si="0">E5+F5</f>
        <v>1</v>
      </c>
      <c r="H5" s="11">
        <f t="shared" ref="H5:H36" si="1">1-G5</f>
        <v>0</v>
      </c>
    </row>
    <row r="6" spans="1:8" x14ac:dyDescent="0.35">
      <c r="A6" s="7" t="s">
        <v>17</v>
      </c>
      <c r="B6" s="7" t="s">
        <v>18</v>
      </c>
      <c r="C6" s="8" t="s">
        <v>6</v>
      </c>
      <c r="D6" s="8" t="s">
        <v>158</v>
      </c>
      <c r="E6" s="9">
        <v>0.9</v>
      </c>
      <c r="F6" s="9">
        <v>0.1</v>
      </c>
      <c r="G6" s="12">
        <f t="shared" si="0"/>
        <v>1</v>
      </c>
      <c r="H6" s="12">
        <f t="shared" si="1"/>
        <v>0</v>
      </c>
    </row>
    <row r="7" spans="1:8" x14ac:dyDescent="0.35">
      <c r="A7" s="3" t="s">
        <v>17</v>
      </c>
      <c r="B7" s="3" t="s">
        <v>18</v>
      </c>
      <c r="C7" s="4" t="s">
        <v>7</v>
      </c>
      <c r="D7" s="4" t="s">
        <v>158</v>
      </c>
      <c r="E7" s="5">
        <v>0.9</v>
      </c>
      <c r="F7" s="5">
        <v>0.1</v>
      </c>
      <c r="G7" s="11">
        <f t="shared" si="0"/>
        <v>1</v>
      </c>
      <c r="H7" s="11">
        <f t="shared" si="1"/>
        <v>0</v>
      </c>
    </row>
    <row r="8" spans="1:8" x14ac:dyDescent="0.35">
      <c r="A8" s="7" t="s">
        <v>17</v>
      </c>
      <c r="B8" s="7" t="s">
        <v>20</v>
      </c>
      <c r="C8" s="8" t="s">
        <v>5</v>
      </c>
      <c r="D8" s="8" t="s">
        <v>157</v>
      </c>
      <c r="E8" s="9">
        <v>1</v>
      </c>
      <c r="F8" s="9">
        <v>0</v>
      </c>
      <c r="G8" s="12">
        <f t="shared" si="0"/>
        <v>1</v>
      </c>
      <c r="H8" s="12">
        <f t="shared" si="1"/>
        <v>0</v>
      </c>
    </row>
    <row r="9" spans="1:8" x14ac:dyDescent="0.35">
      <c r="A9" s="3" t="s">
        <v>17</v>
      </c>
      <c r="B9" s="3" t="s">
        <v>20</v>
      </c>
      <c r="C9" s="4" t="s">
        <v>6</v>
      </c>
      <c r="D9" s="4" t="s">
        <v>158</v>
      </c>
      <c r="E9" s="5">
        <v>0.9</v>
      </c>
      <c r="F9" s="5">
        <v>0.1</v>
      </c>
      <c r="G9" s="11">
        <f t="shared" si="0"/>
        <v>1</v>
      </c>
      <c r="H9" s="11">
        <f t="shared" si="1"/>
        <v>0</v>
      </c>
    </row>
    <row r="10" spans="1:8" x14ac:dyDescent="0.35">
      <c r="A10" s="7" t="s">
        <v>17</v>
      </c>
      <c r="B10" s="7" t="s">
        <v>20</v>
      </c>
      <c r="C10" s="8" t="s">
        <v>7</v>
      </c>
      <c r="D10" s="8" t="s">
        <v>158</v>
      </c>
      <c r="E10" s="9">
        <v>0.9</v>
      </c>
      <c r="F10" s="9">
        <v>0.1</v>
      </c>
      <c r="G10" s="12">
        <f t="shared" si="0"/>
        <v>1</v>
      </c>
      <c r="H10" s="12">
        <f t="shared" si="1"/>
        <v>0</v>
      </c>
    </row>
    <row r="11" spans="1:8" x14ac:dyDescent="0.35">
      <c r="A11" s="3" t="s">
        <v>17</v>
      </c>
      <c r="B11" s="3" t="s">
        <v>21</v>
      </c>
      <c r="C11" s="4" t="s">
        <v>5</v>
      </c>
      <c r="D11" s="4" t="s">
        <v>157</v>
      </c>
      <c r="E11" s="5">
        <v>1</v>
      </c>
      <c r="F11" s="5">
        <v>0</v>
      </c>
      <c r="G11" s="11">
        <f t="shared" si="0"/>
        <v>1</v>
      </c>
      <c r="H11" s="11">
        <f t="shared" si="1"/>
        <v>0</v>
      </c>
    </row>
    <row r="12" spans="1:8" x14ac:dyDescent="0.35">
      <c r="A12" s="7" t="s">
        <v>17</v>
      </c>
      <c r="B12" s="7" t="s">
        <v>21</v>
      </c>
      <c r="C12" s="8" t="s">
        <v>6</v>
      </c>
      <c r="D12" s="8" t="s">
        <v>157</v>
      </c>
      <c r="E12" s="9">
        <v>1</v>
      </c>
      <c r="F12" s="9">
        <v>0</v>
      </c>
      <c r="G12" s="12">
        <f t="shared" si="0"/>
        <v>1</v>
      </c>
      <c r="H12" s="12">
        <f t="shared" si="1"/>
        <v>0</v>
      </c>
    </row>
    <row r="13" spans="1:8" x14ac:dyDescent="0.35">
      <c r="A13" s="3" t="s">
        <v>17</v>
      </c>
      <c r="B13" s="3" t="s">
        <v>21</v>
      </c>
      <c r="C13" s="4" t="s">
        <v>7</v>
      </c>
      <c r="D13" s="4" t="s">
        <v>157</v>
      </c>
      <c r="E13" s="5">
        <v>1</v>
      </c>
      <c r="F13" s="5">
        <v>0</v>
      </c>
      <c r="G13" s="11">
        <f t="shared" si="0"/>
        <v>1</v>
      </c>
      <c r="H13" s="11">
        <f t="shared" si="1"/>
        <v>0</v>
      </c>
    </row>
    <row r="14" spans="1:8" x14ac:dyDescent="0.35">
      <c r="A14" s="7" t="s">
        <v>22</v>
      </c>
      <c r="B14" s="7" t="s">
        <v>23</v>
      </c>
      <c r="C14" s="8" t="s">
        <v>5</v>
      </c>
      <c r="D14" s="8" t="s">
        <v>157</v>
      </c>
      <c r="E14" s="9">
        <v>1</v>
      </c>
      <c r="F14" s="9">
        <v>0</v>
      </c>
      <c r="G14" s="12">
        <f t="shared" si="0"/>
        <v>1</v>
      </c>
      <c r="H14" s="12">
        <f t="shared" si="1"/>
        <v>0</v>
      </c>
    </row>
    <row r="15" spans="1:8" x14ac:dyDescent="0.35">
      <c r="A15" s="3" t="s">
        <v>22</v>
      </c>
      <c r="B15" s="3" t="s">
        <v>23</v>
      </c>
      <c r="C15" s="4" t="s">
        <v>6</v>
      </c>
      <c r="D15" s="4" t="s">
        <v>159</v>
      </c>
      <c r="E15" s="5">
        <v>0.5</v>
      </c>
      <c r="F15" s="5">
        <v>0</v>
      </c>
      <c r="G15" s="11">
        <f t="shared" si="0"/>
        <v>0.5</v>
      </c>
      <c r="H15" s="11">
        <f t="shared" si="1"/>
        <v>0.5</v>
      </c>
    </row>
    <row r="16" spans="1:8" x14ac:dyDescent="0.35">
      <c r="A16" s="7" t="s">
        <v>22</v>
      </c>
      <c r="B16" s="7" t="s">
        <v>23</v>
      </c>
      <c r="C16" s="8" t="s">
        <v>7</v>
      </c>
      <c r="D16" s="8" t="s">
        <v>160</v>
      </c>
      <c r="E16" s="9">
        <v>0</v>
      </c>
      <c r="F16" s="9">
        <v>0</v>
      </c>
      <c r="G16" s="12">
        <f t="shared" si="0"/>
        <v>0</v>
      </c>
      <c r="H16" s="12">
        <f t="shared" si="1"/>
        <v>1</v>
      </c>
    </row>
    <row r="17" spans="1:8" x14ac:dyDescent="0.35">
      <c r="A17" s="3" t="s">
        <v>24</v>
      </c>
      <c r="B17" s="3" t="s">
        <v>25</v>
      </c>
      <c r="C17" s="4" t="s">
        <v>5</v>
      </c>
      <c r="D17" s="4" t="s">
        <v>157</v>
      </c>
      <c r="E17" s="5">
        <v>1</v>
      </c>
      <c r="F17" s="5">
        <v>0</v>
      </c>
      <c r="G17" s="11">
        <f t="shared" si="0"/>
        <v>1</v>
      </c>
      <c r="H17" s="11">
        <f t="shared" si="1"/>
        <v>0</v>
      </c>
    </row>
    <row r="18" spans="1:8" x14ac:dyDescent="0.35">
      <c r="A18" s="7" t="s">
        <v>24</v>
      </c>
      <c r="B18" s="7" t="s">
        <v>25</v>
      </c>
      <c r="C18" s="8" t="s">
        <v>6</v>
      </c>
      <c r="D18" s="8" t="s">
        <v>157</v>
      </c>
      <c r="E18" s="9">
        <v>1</v>
      </c>
      <c r="F18" s="9">
        <v>0</v>
      </c>
      <c r="G18" s="12">
        <f t="shared" si="0"/>
        <v>1</v>
      </c>
      <c r="H18" s="12">
        <f t="shared" si="1"/>
        <v>0</v>
      </c>
    </row>
    <row r="19" spans="1:8" x14ac:dyDescent="0.35">
      <c r="A19" s="3" t="s">
        <v>24</v>
      </c>
      <c r="B19" s="3" t="s">
        <v>25</v>
      </c>
      <c r="C19" s="4" t="s">
        <v>7</v>
      </c>
      <c r="D19" s="4" t="s">
        <v>157</v>
      </c>
      <c r="E19" s="5">
        <v>1</v>
      </c>
      <c r="F19" s="5">
        <v>0</v>
      </c>
      <c r="G19" s="11">
        <f t="shared" si="0"/>
        <v>1</v>
      </c>
      <c r="H19" s="11">
        <f t="shared" si="1"/>
        <v>0</v>
      </c>
    </row>
    <row r="20" spans="1:8" x14ac:dyDescent="0.35">
      <c r="A20" s="7" t="s">
        <v>24</v>
      </c>
      <c r="B20" s="7" t="s">
        <v>26</v>
      </c>
      <c r="C20" s="8" t="s">
        <v>5</v>
      </c>
      <c r="D20" s="8" t="s">
        <v>157</v>
      </c>
      <c r="E20" s="9">
        <v>1</v>
      </c>
      <c r="F20" s="9">
        <v>0</v>
      </c>
      <c r="G20" s="12">
        <f t="shared" si="0"/>
        <v>1</v>
      </c>
      <c r="H20" s="12">
        <f t="shared" si="1"/>
        <v>0</v>
      </c>
    </row>
    <row r="21" spans="1:8" x14ac:dyDescent="0.35">
      <c r="A21" s="3" t="s">
        <v>24</v>
      </c>
      <c r="B21" s="3" t="s">
        <v>26</v>
      </c>
      <c r="C21" s="4" t="s">
        <v>6</v>
      </c>
      <c r="D21" s="4" t="s">
        <v>157</v>
      </c>
      <c r="E21" s="5">
        <v>1</v>
      </c>
      <c r="F21" s="5">
        <v>0</v>
      </c>
      <c r="G21" s="11">
        <f t="shared" si="0"/>
        <v>1</v>
      </c>
      <c r="H21" s="11">
        <f t="shared" si="1"/>
        <v>0</v>
      </c>
    </row>
    <row r="22" spans="1:8" x14ac:dyDescent="0.35">
      <c r="A22" s="7" t="s">
        <v>24</v>
      </c>
      <c r="B22" s="7" t="s">
        <v>26</v>
      </c>
      <c r="C22" s="8" t="s">
        <v>7</v>
      </c>
      <c r="D22" s="8" t="s">
        <v>157</v>
      </c>
      <c r="E22" s="9">
        <v>1</v>
      </c>
      <c r="F22" s="9">
        <v>0</v>
      </c>
      <c r="G22" s="12">
        <f t="shared" si="0"/>
        <v>1</v>
      </c>
      <c r="H22" s="12">
        <f t="shared" si="1"/>
        <v>0</v>
      </c>
    </row>
    <row r="23" spans="1:8" x14ac:dyDescent="0.35">
      <c r="A23" s="3" t="s">
        <v>24</v>
      </c>
      <c r="B23" s="3" t="s">
        <v>27</v>
      </c>
      <c r="C23" s="4" t="s">
        <v>5</v>
      </c>
      <c r="D23" s="4" t="s">
        <v>157</v>
      </c>
      <c r="E23" s="5">
        <v>1</v>
      </c>
      <c r="F23" s="5">
        <v>0</v>
      </c>
      <c r="G23" s="11">
        <f t="shared" si="0"/>
        <v>1</v>
      </c>
      <c r="H23" s="11">
        <f t="shared" si="1"/>
        <v>0</v>
      </c>
    </row>
    <row r="24" spans="1:8" x14ac:dyDescent="0.35">
      <c r="A24" s="7" t="s">
        <v>24</v>
      </c>
      <c r="B24" s="7" t="s">
        <v>27</v>
      </c>
      <c r="C24" s="8" t="s">
        <v>6</v>
      </c>
      <c r="D24" s="8" t="s">
        <v>160</v>
      </c>
      <c r="E24" s="9">
        <v>0</v>
      </c>
      <c r="F24" s="9">
        <v>0</v>
      </c>
      <c r="G24" s="12">
        <f t="shared" si="0"/>
        <v>0</v>
      </c>
      <c r="H24" s="12">
        <f t="shared" si="1"/>
        <v>1</v>
      </c>
    </row>
    <row r="25" spans="1:8" x14ac:dyDescent="0.35">
      <c r="A25" s="3" t="s">
        <v>24</v>
      </c>
      <c r="B25" s="3" t="s">
        <v>27</v>
      </c>
      <c r="C25" s="4" t="s">
        <v>7</v>
      </c>
      <c r="D25" s="4" t="s">
        <v>160</v>
      </c>
      <c r="E25" s="5">
        <v>0</v>
      </c>
      <c r="F25" s="5">
        <v>0</v>
      </c>
      <c r="G25" s="11">
        <f t="shared" si="0"/>
        <v>0</v>
      </c>
      <c r="H25" s="11">
        <f t="shared" si="1"/>
        <v>1</v>
      </c>
    </row>
    <row r="26" spans="1:8" x14ac:dyDescent="0.35">
      <c r="A26" s="7" t="s">
        <v>24</v>
      </c>
      <c r="B26" s="7" t="s">
        <v>28</v>
      </c>
      <c r="C26" s="8" t="s">
        <v>5</v>
      </c>
      <c r="D26" s="8" t="s">
        <v>157</v>
      </c>
      <c r="E26" s="9">
        <v>1</v>
      </c>
      <c r="F26" s="9">
        <v>0</v>
      </c>
      <c r="G26" s="12">
        <f t="shared" si="0"/>
        <v>1</v>
      </c>
      <c r="H26" s="12">
        <f t="shared" si="1"/>
        <v>0</v>
      </c>
    </row>
    <row r="27" spans="1:8" x14ac:dyDescent="0.35">
      <c r="A27" s="3" t="s">
        <v>24</v>
      </c>
      <c r="B27" s="3" t="s">
        <v>28</v>
      </c>
      <c r="C27" s="4" t="s">
        <v>6</v>
      </c>
      <c r="D27" s="4" t="s">
        <v>160</v>
      </c>
      <c r="E27" s="5">
        <v>0</v>
      </c>
      <c r="F27" s="5">
        <v>0</v>
      </c>
      <c r="G27" s="11">
        <f t="shared" si="0"/>
        <v>0</v>
      </c>
      <c r="H27" s="11">
        <f t="shared" si="1"/>
        <v>1</v>
      </c>
    </row>
    <row r="28" spans="1:8" x14ac:dyDescent="0.35">
      <c r="A28" s="7" t="s">
        <v>24</v>
      </c>
      <c r="B28" s="7" t="s">
        <v>28</v>
      </c>
      <c r="C28" s="8" t="s">
        <v>7</v>
      </c>
      <c r="D28" s="8" t="s">
        <v>160</v>
      </c>
      <c r="E28" s="9">
        <v>0</v>
      </c>
      <c r="F28" s="9">
        <v>0</v>
      </c>
      <c r="G28" s="12">
        <f t="shared" si="0"/>
        <v>0</v>
      </c>
      <c r="H28" s="12">
        <f t="shared" si="1"/>
        <v>1</v>
      </c>
    </row>
    <row r="29" spans="1:8" x14ac:dyDescent="0.35">
      <c r="A29" s="3" t="s">
        <v>29</v>
      </c>
      <c r="B29" s="3" t="s">
        <v>30</v>
      </c>
      <c r="C29" s="4" t="s">
        <v>5</v>
      </c>
      <c r="D29" s="4" t="s">
        <v>157</v>
      </c>
      <c r="E29" s="5">
        <v>1</v>
      </c>
      <c r="F29" s="5">
        <v>0</v>
      </c>
      <c r="G29" s="11">
        <f t="shared" si="0"/>
        <v>1</v>
      </c>
      <c r="H29" s="11">
        <f t="shared" si="1"/>
        <v>0</v>
      </c>
    </row>
    <row r="30" spans="1:8" x14ac:dyDescent="0.35">
      <c r="A30" s="7" t="s">
        <v>29</v>
      </c>
      <c r="B30" s="7" t="s">
        <v>30</v>
      </c>
      <c r="C30" s="8" t="s">
        <v>6</v>
      </c>
      <c r="D30" s="8" t="s">
        <v>158</v>
      </c>
      <c r="E30" s="9">
        <v>0.9</v>
      </c>
      <c r="F30" s="9">
        <v>0.1</v>
      </c>
      <c r="G30" s="12">
        <f t="shared" si="0"/>
        <v>1</v>
      </c>
      <c r="H30" s="12">
        <f t="shared" si="1"/>
        <v>0</v>
      </c>
    </row>
    <row r="31" spans="1:8" x14ac:dyDescent="0.35">
      <c r="A31" s="3" t="s">
        <v>29</v>
      </c>
      <c r="B31" s="3" t="s">
        <v>30</v>
      </c>
      <c r="C31" s="4" t="s">
        <v>7</v>
      </c>
      <c r="D31" s="4" t="s">
        <v>161</v>
      </c>
      <c r="E31" s="5">
        <v>0.5</v>
      </c>
      <c r="F31" s="5">
        <v>0.1</v>
      </c>
      <c r="G31" s="11">
        <f t="shared" si="0"/>
        <v>0.6</v>
      </c>
      <c r="H31" s="11">
        <f t="shared" si="1"/>
        <v>0.4</v>
      </c>
    </row>
    <row r="32" spans="1:8" x14ac:dyDescent="0.35">
      <c r="A32" s="7" t="s">
        <v>29</v>
      </c>
      <c r="B32" s="7" t="s">
        <v>31</v>
      </c>
      <c r="C32" s="8" t="s">
        <v>5</v>
      </c>
      <c r="D32" s="8" t="s">
        <v>157</v>
      </c>
      <c r="E32" s="9">
        <v>1</v>
      </c>
      <c r="F32" s="9">
        <v>0</v>
      </c>
      <c r="G32" s="12">
        <f t="shared" si="0"/>
        <v>1</v>
      </c>
      <c r="H32" s="12">
        <f t="shared" si="1"/>
        <v>0</v>
      </c>
    </row>
    <row r="33" spans="1:8" x14ac:dyDescent="0.35">
      <c r="A33" s="3" t="s">
        <v>29</v>
      </c>
      <c r="B33" s="3" t="s">
        <v>31</v>
      </c>
      <c r="C33" s="4" t="s">
        <v>6</v>
      </c>
      <c r="D33" s="4" t="s">
        <v>162</v>
      </c>
      <c r="E33" s="5">
        <v>0.8</v>
      </c>
      <c r="F33" s="5">
        <v>0.2</v>
      </c>
      <c r="G33" s="11">
        <f t="shared" si="0"/>
        <v>1</v>
      </c>
      <c r="H33" s="11">
        <f t="shared" si="1"/>
        <v>0</v>
      </c>
    </row>
    <row r="34" spans="1:8" x14ac:dyDescent="0.35">
      <c r="A34" s="7" t="s">
        <v>29</v>
      </c>
      <c r="B34" s="7" t="s">
        <v>31</v>
      </c>
      <c r="C34" s="8" t="s">
        <v>7</v>
      </c>
      <c r="D34" s="8" t="s">
        <v>163</v>
      </c>
      <c r="E34" s="9">
        <v>0.1</v>
      </c>
      <c r="F34" s="9">
        <v>0.5</v>
      </c>
      <c r="G34" s="12">
        <f t="shared" si="0"/>
        <v>0.6</v>
      </c>
      <c r="H34" s="12">
        <f t="shared" si="1"/>
        <v>0.4</v>
      </c>
    </row>
    <row r="35" spans="1:8" x14ac:dyDescent="0.35">
      <c r="A35" s="3" t="s">
        <v>29</v>
      </c>
      <c r="B35" s="3" t="s">
        <v>32</v>
      </c>
      <c r="C35" s="4" t="s">
        <v>5</v>
      </c>
      <c r="D35" s="4" t="s">
        <v>157</v>
      </c>
      <c r="E35" s="5">
        <v>1</v>
      </c>
      <c r="F35" s="5">
        <v>0</v>
      </c>
      <c r="G35" s="11">
        <f t="shared" si="0"/>
        <v>1</v>
      </c>
      <c r="H35" s="11">
        <f t="shared" si="1"/>
        <v>0</v>
      </c>
    </row>
    <row r="36" spans="1:8" x14ac:dyDescent="0.35">
      <c r="A36" s="7" t="s">
        <v>29</v>
      </c>
      <c r="B36" s="7" t="s">
        <v>32</v>
      </c>
      <c r="C36" s="8" t="s">
        <v>6</v>
      </c>
      <c r="D36" s="8" t="s">
        <v>164</v>
      </c>
      <c r="E36" s="9">
        <v>0.5</v>
      </c>
      <c r="F36" s="9">
        <v>0.5</v>
      </c>
      <c r="G36" s="12">
        <f t="shared" si="0"/>
        <v>1</v>
      </c>
      <c r="H36" s="12">
        <f t="shared" si="1"/>
        <v>0</v>
      </c>
    </row>
    <row r="37" spans="1:8" x14ac:dyDescent="0.35">
      <c r="A37" s="3" t="s">
        <v>29</v>
      </c>
      <c r="B37" s="3" t="s">
        <v>32</v>
      </c>
      <c r="C37" s="4" t="s">
        <v>7</v>
      </c>
      <c r="D37" s="4" t="s">
        <v>163</v>
      </c>
      <c r="E37" s="5">
        <v>0.1</v>
      </c>
      <c r="F37" s="5">
        <v>0.5</v>
      </c>
      <c r="G37" s="11">
        <f t="shared" ref="G37:G68" si="2">E37+F37</f>
        <v>0.6</v>
      </c>
      <c r="H37" s="11">
        <f t="shared" ref="H37:H68" si="3">1-G37</f>
        <v>0.4</v>
      </c>
    </row>
    <row r="38" spans="1:8" x14ac:dyDescent="0.35">
      <c r="A38" s="7" t="s">
        <v>29</v>
      </c>
      <c r="B38" s="7" t="s">
        <v>33</v>
      </c>
      <c r="C38" s="8" t="s">
        <v>5</v>
      </c>
      <c r="D38" s="8" t="s">
        <v>157</v>
      </c>
      <c r="E38" s="9">
        <v>1</v>
      </c>
      <c r="F38" s="9">
        <v>0</v>
      </c>
      <c r="G38" s="12">
        <f t="shared" si="2"/>
        <v>1</v>
      </c>
      <c r="H38" s="12">
        <f t="shared" si="3"/>
        <v>0</v>
      </c>
    </row>
    <row r="39" spans="1:8" x14ac:dyDescent="0.35">
      <c r="A39" s="3" t="s">
        <v>29</v>
      </c>
      <c r="B39" s="3" t="s">
        <v>33</v>
      </c>
      <c r="C39" s="4" t="s">
        <v>6</v>
      </c>
      <c r="D39" s="4" t="s">
        <v>157</v>
      </c>
      <c r="E39" s="5">
        <v>1</v>
      </c>
      <c r="F39" s="5">
        <v>0</v>
      </c>
      <c r="G39" s="11">
        <f t="shared" si="2"/>
        <v>1</v>
      </c>
      <c r="H39" s="11">
        <f t="shared" si="3"/>
        <v>0</v>
      </c>
    </row>
    <row r="40" spans="1:8" x14ac:dyDescent="0.35">
      <c r="A40" s="7" t="s">
        <v>29</v>
      </c>
      <c r="B40" s="7" t="s">
        <v>33</v>
      </c>
      <c r="C40" s="8" t="s">
        <v>7</v>
      </c>
      <c r="D40" s="8" t="s">
        <v>160</v>
      </c>
      <c r="E40" s="9">
        <v>0</v>
      </c>
      <c r="F40" s="9">
        <v>0</v>
      </c>
      <c r="G40" s="12">
        <f t="shared" si="2"/>
        <v>0</v>
      </c>
      <c r="H40" s="12">
        <f t="shared" si="3"/>
        <v>1</v>
      </c>
    </row>
    <row r="41" spans="1:8" x14ac:dyDescent="0.35">
      <c r="A41" s="3" t="s">
        <v>29</v>
      </c>
      <c r="B41" s="3" t="s">
        <v>34</v>
      </c>
      <c r="C41" s="4" t="s">
        <v>5</v>
      </c>
      <c r="D41" s="4" t="s">
        <v>157</v>
      </c>
      <c r="E41" s="5">
        <v>1</v>
      </c>
      <c r="F41" s="5">
        <v>0</v>
      </c>
      <c r="G41" s="11">
        <f t="shared" si="2"/>
        <v>1</v>
      </c>
      <c r="H41" s="11">
        <f t="shared" si="3"/>
        <v>0</v>
      </c>
    </row>
    <row r="42" spans="1:8" x14ac:dyDescent="0.35">
      <c r="A42" s="7" t="s">
        <v>29</v>
      </c>
      <c r="B42" s="7" t="s">
        <v>34</v>
      </c>
      <c r="C42" s="8" t="s">
        <v>6</v>
      </c>
      <c r="D42" s="8" t="s">
        <v>157</v>
      </c>
      <c r="E42" s="9">
        <v>1</v>
      </c>
      <c r="F42" s="9">
        <v>0</v>
      </c>
      <c r="G42" s="12">
        <f t="shared" si="2"/>
        <v>1</v>
      </c>
      <c r="H42" s="12">
        <f t="shared" si="3"/>
        <v>0</v>
      </c>
    </row>
    <row r="43" spans="1:8" x14ac:dyDescent="0.35">
      <c r="A43" s="3" t="s">
        <v>29</v>
      </c>
      <c r="B43" s="3" t="s">
        <v>34</v>
      </c>
      <c r="C43" s="4" t="s">
        <v>7</v>
      </c>
      <c r="D43" s="4" t="s">
        <v>160</v>
      </c>
      <c r="E43" s="5">
        <v>0</v>
      </c>
      <c r="F43" s="5">
        <v>0</v>
      </c>
      <c r="G43" s="11">
        <f t="shared" si="2"/>
        <v>0</v>
      </c>
      <c r="H43" s="11">
        <f t="shared" si="3"/>
        <v>1</v>
      </c>
    </row>
    <row r="44" spans="1:8" x14ac:dyDescent="0.35">
      <c r="A44" s="7" t="s">
        <v>29</v>
      </c>
      <c r="B44" s="7" t="s">
        <v>35</v>
      </c>
      <c r="C44" s="8" t="s">
        <v>5</v>
      </c>
      <c r="D44" s="8" t="s">
        <v>157</v>
      </c>
      <c r="E44" s="9">
        <v>1</v>
      </c>
      <c r="F44" s="9">
        <v>0</v>
      </c>
      <c r="G44" s="12">
        <f t="shared" si="2"/>
        <v>1</v>
      </c>
      <c r="H44" s="12">
        <f t="shared" si="3"/>
        <v>0</v>
      </c>
    </row>
    <row r="45" spans="1:8" x14ac:dyDescent="0.35">
      <c r="A45" s="3" t="s">
        <v>29</v>
      </c>
      <c r="B45" s="3" t="s">
        <v>35</v>
      </c>
      <c r="C45" s="4" t="s">
        <v>6</v>
      </c>
      <c r="D45" s="4" t="s">
        <v>157</v>
      </c>
      <c r="E45" s="5">
        <v>1</v>
      </c>
      <c r="F45" s="5">
        <v>0</v>
      </c>
      <c r="G45" s="11">
        <f t="shared" si="2"/>
        <v>1</v>
      </c>
      <c r="H45" s="11">
        <f t="shared" si="3"/>
        <v>0</v>
      </c>
    </row>
    <row r="46" spans="1:8" x14ac:dyDescent="0.35">
      <c r="A46" s="7" t="s">
        <v>29</v>
      </c>
      <c r="B46" s="7" t="s">
        <v>35</v>
      </c>
      <c r="C46" s="8" t="s">
        <v>7</v>
      </c>
      <c r="D46" s="8" t="s">
        <v>160</v>
      </c>
      <c r="E46" s="9">
        <v>0</v>
      </c>
      <c r="F46" s="9">
        <v>0</v>
      </c>
      <c r="G46" s="12">
        <f t="shared" si="2"/>
        <v>0</v>
      </c>
      <c r="H46" s="12">
        <f t="shared" si="3"/>
        <v>1</v>
      </c>
    </row>
    <row r="47" spans="1:8" x14ac:dyDescent="0.35">
      <c r="A47" s="3" t="s">
        <v>36</v>
      </c>
      <c r="B47" s="3" t="s">
        <v>37</v>
      </c>
      <c r="C47" s="4" t="s">
        <v>5</v>
      </c>
      <c r="D47" s="4" t="s">
        <v>157</v>
      </c>
      <c r="E47" s="5">
        <v>1</v>
      </c>
      <c r="F47" s="5">
        <v>0</v>
      </c>
      <c r="G47" s="11">
        <f t="shared" si="2"/>
        <v>1</v>
      </c>
      <c r="H47" s="11">
        <f t="shared" si="3"/>
        <v>0</v>
      </c>
    </row>
    <row r="48" spans="1:8" x14ac:dyDescent="0.35">
      <c r="A48" s="7" t="s">
        <v>36</v>
      </c>
      <c r="B48" s="7" t="s">
        <v>37</v>
      </c>
      <c r="C48" s="8" t="s">
        <v>6</v>
      </c>
      <c r="D48" s="8" t="s">
        <v>158</v>
      </c>
      <c r="E48" s="9">
        <v>0.9</v>
      </c>
      <c r="F48" s="9">
        <v>0.1</v>
      </c>
      <c r="G48" s="12">
        <f t="shared" si="2"/>
        <v>1</v>
      </c>
      <c r="H48" s="12">
        <f t="shared" si="3"/>
        <v>0</v>
      </c>
    </row>
    <row r="49" spans="1:8" x14ac:dyDescent="0.35">
      <c r="A49" s="3" t="s">
        <v>36</v>
      </c>
      <c r="B49" s="3" t="s">
        <v>37</v>
      </c>
      <c r="C49" s="4" t="s">
        <v>7</v>
      </c>
      <c r="D49" s="4" t="s">
        <v>158</v>
      </c>
      <c r="E49" s="5">
        <v>0.9</v>
      </c>
      <c r="F49" s="5">
        <v>0.1</v>
      </c>
      <c r="G49" s="11">
        <f t="shared" si="2"/>
        <v>1</v>
      </c>
      <c r="H49" s="11">
        <f t="shared" si="3"/>
        <v>0</v>
      </c>
    </row>
    <row r="50" spans="1:8" x14ac:dyDescent="0.35">
      <c r="A50" s="7" t="s">
        <v>36</v>
      </c>
      <c r="B50" s="7" t="s">
        <v>38</v>
      </c>
      <c r="C50" s="8" t="s">
        <v>5</v>
      </c>
      <c r="D50" s="8" t="s">
        <v>157</v>
      </c>
      <c r="E50" s="9">
        <v>1</v>
      </c>
      <c r="F50" s="9">
        <v>0</v>
      </c>
      <c r="G50" s="12">
        <f t="shared" si="2"/>
        <v>1</v>
      </c>
      <c r="H50" s="12">
        <f t="shared" si="3"/>
        <v>0</v>
      </c>
    </row>
    <row r="51" spans="1:8" x14ac:dyDescent="0.35">
      <c r="A51" s="3" t="s">
        <v>36</v>
      </c>
      <c r="B51" s="3" t="s">
        <v>38</v>
      </c>
      <c r="C51" s="4" t="s">
        <v>6</v>
      </c>
      <c r="D51" s="4" t="s">
        <v>157</v>
      </c>
      <c r="E51" s="5">
        <v>1</v>
      </c>
      <c r="F51" s="5">
        <v>0</v>
      </c>
      <c r="G51" s="11">
        <f t="shared" si="2"/>
        <v>1</v>
      </c>
      <c r="H51" s="11">
        <f t="shared" si="3"/>
        <v>0</v>
      </c>
    </row>
    <row r="52" spans="1:8" x14ac:dyDescent="0.35">
      <c r="A52" s="7" t="s">
        <v>36</v>
      </c>
      <c r="B52" s="7" t="s">
        <v>38</v>
      </c>
      <c r="C52" s="8" t="s">
        <v>7</v>
      </c>
      <c r="D52" s="8" t="s">
        <v>157</v>
      </c>
      <c r="E52" s="9">
        <v>1</v>
      </c>
      <c r="F52" s="9">
        <v>0</v>
      </c>
      <c r="G52" s="12">
        <f t="shared" si="2"/>
        <v>1</v>
      </c>
      <c r="H52" s="12">
        <f t="shared" si="3"/>
        <v>0</v>
      </c>
    </row>
    <row r="53" spans="1:8" x14ac:dyDescent="0.35">
      <c r="A53" s="3" t="s">
        <v>36</v>
      </c>
      <c r="B53" s="3" t="s">
        <v>39</v>
      </c>
      <c r="C53" s="4" t="s">
        <v>5</v>
      </c>
      <c r="D53" s="4" t="s">
        <v>157</v>
      </c>
      <c r="E53" s="5">
        <v>1</v>
      </c>
      <c r="F53" s="5">
        <v>0</v>
      </c>
      <c r="G53" s="11">
        <f t="shared" si="2"/>
        <v>1</v>
      </c>
      <c r="H53" s="11">
        <f t="shared" si="3"/>
        <v>0</v>
      </c>
    </row>
    <row r="54" spans="1:8" x14ac:dyDescent="0.35">
      <c r="A54" s="7" t="s">
        <v>36</v>
      </c>
      <c r="B54" s="7" t="s">
        <v>39</v>
      </c>
      <c r="C54" s="8" t="s">
        <v>6</v>
      </c>
      <c r="D54" s="8" t="s">
        <v>157</v>
      </c>
      <c r="E54" s="9">
        <v>1</v>
      </c>
      <c r="F54" s="9">
        <v>0</v>
      </c>
      <c r="G54" s="12">
        <f t="shared" si="2"/>
        <v>1</v>
      </c>
      <c r="H54" s="12">
        <f t="shared" si="3"/>
        <v>0</v>
      </c>
    </row>
    <row r="55" spans="1:8" x14ac:dyDescent="0.35">
      <c r="A55" s="3" t="s">
        <v>36</v>
      </c>
      <c r="B55" s="3" t="s">
        <v>39</v>
      </c>
      <c r="C55" s="4" t="s">
        <v>7</v>
      </c>
      <c r="D55" s="4" t="s">
        <v>157</v>
      </c>
      <c r="E55" s="5">
        <v>1</v>
      </c>
      <c r="F55" s="5">
        <v>0</v>
      </c>
      <c r="G55" s="11">
        <f t="shared" si="2"/>
        <v>1</v>
      </c>
      <c r="H55" s="11">
        <f t="shared" si="3"/>
        <v>0</v>
      </c>
    </row>
    <row r="56" spans="1:8" ht="29" x14ac:dyDescent="0.35">
      <c r="A56" s="7" t="s">
        <v>40</v>
      </c>
      <c r="B56" s="7" t="s">
        <v>41</v>
      </c>
      <c r="C56" s="8" t="s">
        <v>5</v>
      </c>
      <c r="D56" s="8" t="s">
        <v>157</v>
      </c>
      <c r="E56" s="9">
        <v>1</v>
      </c>
      <c r="F56" s="9">
        <v>0</v>
      </c>
      <c r="G56" s="12">
        <f t="shared" si="2"/>
        <v>1</v>
      </c>
      <c r="H56" s="12">
        <f t="shared" si="3"/>
        <v>0</v>
      </c>
    </row>
    <row r="57" spans="1:8" ht="29" x14ac:dyDescent="0.35">
      <c r="A57" s="3" t="s">
        <v>40</v>
      </c>
      <c r="B57" s="3" t="s">
        <v>41</v>
      </c>
      <c r="C57" s="4" t="s">
        <v>6</v>
      </c>
      <c r="D57" s="4" t="s">
        <v>157</v>
      </c>
      <c r="E57" s="5">
        <v>1</v>
      </c>
      <c r="F57" s="5">
        <v>0</v>
      </c>
      <c r="G57" s="11">
        <f t="shared" si="2"/>
        <v>1</v>
      </c>
      <c r="H57" s="11">
        <f t="shared" si="3"/>
        <v>0</v>
      </c>
    </row>
    <row r="58" spans="1:8" ht="29" x14ac:dyDescent="0.35">
      <c r="A58" s="7" t="s">
        <v>40</v>
      </c>
      <c r="B58" s="7" t="s">
        <v>41</v>
      </c>
      <c r="C58" s="8" t="s">
        <v>7</v>
      </c>
      <c r="D58" s="8" t="s">
        <v>164</v>
      </c>
      <c r="E58" s="9">
        <v>0.5</v>
      </c>
      <c r="F58" s="9">
        <v>0.5</v>
      </c>
      <c r="G58" s="12">
        <f t="shared" si="2"/>
        <v>1</v>
      </c>
      <c r="H58" s="12">
        <f t="shared" si="3"/>
        <v>0</v>
      </c>
    </row>
    <row r="59" spans="1:8" ht="29" x14ac:dyDescent="0.35">
      <c r="A59" s="3" t="s">
        <v>40</v>
      </c>
      <c r="B59" s="3" t="s">
        <v>42</v>
      </c>
      <c r="C59" s="4" t="s">
        <v>5</v>
      </c>
      <c r="D59" s="4" t="s">
        <v>157</v>
      </c>
      <c r="E59" s="5">
        <v>1</v>
      </c>
      <c r="F59" s="5">
        <v>0</v>
      </c>
      <c r="G59" s="11">
        <f t="shared" si="2"/>
        <v>1</v>
      </c>
      <c r="H59" s="11">
        <f t="shared" si="3"/>
        <v>0</v>
      </c>
    </row>
    <row r="60" spans="1:8" ht="29" x14ac:dyDescent="0.35">
      <c r="A60" s="7" t="s">
        <v>40</v>
      </c>
      <c r="B60" s="7" t="s">
        <v>42</v>
      </c>
      <c r="C60" s="8" t="s">
        <v>6</v>
      </c>
      <c r="D60" s="8" t="s">
        <v>157</v>
      </c>
      <c r="E60" s="9">
        <v>1</v>
      </c>
      <c r="F60" s="9">
        <v>0</v>
      </c>
      <c r="G60" s="12">
        <f t="shared" si="2"/>
        <v>1</v>
      </c>
      <c r="H60" s="12">
        <f t="shared" si="3"/>
        <v>0</v>
      </c>
    </row>
    <row r="61" spans="1:8" ht="29" x14ac:dyDescent="0.35">
      <c r="A61" s="3" t="s">
        <v>40</v>
      </c>
      <c r="B61" s="3" t="s">
        <v>42</v>
      </c>
      <c r="C61" s="4" t="s">
        <v>7</v>
      </c>
      <c r="D61" s="4" t="s">
        <v>160</v>
      </c>
      <c r="E61" s="5">
        <v>0</v>
      </c>
      <c r="F61" s="5">
        <v>0</v>
      </c>
      <c r="G61" s="11">
        <f t="shared" si="2"/>
        <v>0</v>
      </c>
      <c r="H61" s="11">
        <f t="shared" si="3"/>
        <v>1</v>
      </c>
    </row>
    <row r="62" spans="1:8" x14ac:dyDescent="0.35">
      <c r="A62" s="7" t="s">
        <v>43</v>
      </c>
      <c r="B62" s="7" t="s">
        <v>44</v>
      </c>
      <c r="C62" s="8" t="s">
        <v>5</v>
      </c>
      <c r="D62" s="8" t="s">
        <v>157</v>
      </c>
      <c r="E62" s="9">
        <v>1</v>
      </c>
      <c r="F62" s="9">
        <v>0</v>
      </c>
      <c r="G62" s="12">
        <f t="shared" si="2"/>
        <v>1</v>
      </c>
      <c r="H62" s="12">
        <f t="shared" si="3"/>
        <v>0</v>
      </c>
    </row>
    <row r="63" spans="1:8" x14ac:dyDescent="0.35">
      <c r="A63" s="3" t="s">
        <v>43</v>
      </c>
      <c r="B63" s="3" t="s">
        <v>44</v>
      </c>
      <c r="C63" s="4" t="s">
        <v>6</v>
      </c>
      <c r="D63" s="4" t="s">
        <v>157</v>
      </c>
      <c r="E63" s="5">
        <v>1</v>
      </c>
      <c r="F63" s="5">
        <v>0</v>
      </c>
      <c r="G63" s="11">
        <f t="shared" si="2"/>
        <v>1</v>
      </c>
      <c r="H63" s="11">
        <f t="shared" si="3"/>
        <v>0</v>
      </c>
    </row>
    <row r="64" spans="1:8" x14ac:dyDescent="0.35">
      <c r="A64" s="7" t="s">
        <v>43</v>
      </c>
      <c r="B64" s="7" t="s">
        <v>44</v>
      </c>
      <c r="C64" s="8" t="s">
        <v>7</v>
      </c>
      <c r="D64" s="8" t="s">
        <v>164</v>
      </c>
      <c r="E64" s="9">
        <v>0.5</v>
      </c>
      <c r="F64" s="9">
        <v>0.5</v>
      </c>
      <c r="G64" s="12">
        <f t="shared" si="2"/>
        <v>1</v>
      </c>
      <c r="H64" s="12">
        <f t="shared" si="3"/>
        <v>0</v>
      </c>
    </row>
    <row r="65" spans="1:8" x14ac:dyDescent="0.35">
      <c r="A65" s="3" t="s">
        <v>43</v>
      </c>
      <c r="B65" s="3" t="s">
        <v>45</v>
      </c>
      <c r="C65" s="4" t="s">
        <v>5</v>
      </c>
      <c r="D65" s="4" t="s">
        <v>157</v>
      </c>
      <c r="E65" s="5">
        <v>1</v>
      </c>
      <c r="F65" s="5">
        <v>0</v>
      </c>
      <c r="G65" s="11">
        <f t="shared" si="2"/>
        <v>1</v>
      </c>
      <c r="H65" s="11">
        <f t="shared" si="3"/>
        <v>0</v>
      </c>
    </row>
    <row r="66" spans="1:8" x14ac:dyDescent="0.35">
      <c r="A66" s="7" t="s">
        <v>43</v>
      </c>
      <c r="B66" s="7" t="s">
        <v>45</v>
      </c>
      <c r="C66" s="8" t="s">
        <v>6</v>
      </c>
      <c r="D66" s="8" t="s">
        <v>157</v>
      </c>
      <c r="E66" s="9">
        <v>1</v>
      </c>
      <c r="F66" s="9">
        <v>0</v>
      </c>
      <c r="G66" s="12">
        <f t="shared" si="2"/>
        <v>1</v>
      </c>
      <c r="H66" s="12">
        <f t="shared" si="3"/>
        <v>0</v>
      </c>
    </row>
    <row r="67" spans="1:8" x14ac:dyDescent="0.35">
      <c r="A67" s="3" t="s">
        <v>43</v>
      </c>
      <c r="B67" s="3" t="s">
        <v>45</v>
      </c>
      <c r="C67" s="4" t="s">
        <v>7</v>
      </c>
      <c r="D67" s="4" t="s">
        <v>164</v>
      </c>
      <c r="E67" s="5">
        <v>0.5</v>
      </c>
      <c r="F67" s="5">
        <v>0.5</v>
      </c>
      <c r="G67" s="11">
        <f t="shared" si="2"/>
        <v>1</v>
      </c>
      <c r="H67" s="11">
        <f t="shared" si="3"/>
        <v>0</v>
      </c>
    </row>
    <row r="68" spans="1:8" x14ac:dyDescent="0.35">
      <c r="A68" s="7" t="s">
        <v>43</v>
      </c>
      <c r="B68" s="7" t="s">
        <v>46</v>
      </c>
      <c r="C68" s="8" t="s">
        <v>5</v>
      </c>
      <c r="D68" s="8" t="s">
        <v>157</v>
      </c>
      <c r="E68" s="9">
        <v>1</v>
      </c>
      <c r="F68" s="9">
        <v>0</v>
      </c>
      <c r="G68" s="12">
        <f t="shared" si="2"/>
        <v>1</v>
      </c>
      <c r="H68" s="12">
        <f t="shared" si="3"/>
        <v>0</v>
      </c>
    </row>
    <row r="69" spans="1:8" x14ac:dyDescent="0.35">
      <c r="A69" s="3" t="s">
        <v>43</v>
      </c>
      <c r="B69" s="3" t="s">
        <v>46</v>
      </c>
      <c r="C69" s="4" t="s">
        <v>6</v>
      </c>
      <c r="D69" s="4" t="s">
        <v>157</v>
      </c>
      <c r="E69" s="5">
        <v>1</v>
      </c>
      <c r="F69" s="5">
        <v>0</v>
      </c>
      <c r="G69" s="11">
        <f t="shared" ref="G69:G100" si="4">E69+F69</f>
        <v>1</v>
      </c>
      <c r="H69" s="11">
        <f t="shared" ref="H69:H100" si="5">1-G69</f>
        <v>0</v>
      </c>
    </row>
    <row r="70" spans="1:8" x14ac:dyDescent="0.35">
      <c r="A70" s="7" t="s">
        <v>43</v>
      </c>
      <c r="B70" s="7" t="s">
        <v>46</v>
      </c>
      <c r="C70" s="8" t="s">
        <v>7</v>
      </c>
      <c r="D70" s="8" t="s">
        <v>160</v>
      </c>
      <c r="E70" s="9">
        <v>0</v>
      </c>
      <c r="F70" s="9">
        <v>0</v>
      </c>
      <c r="G70" s="12">
        <f t="shared" si="4"/>
        <v>0</v>
      </c>
      <c r="H70" s="12">
        <f t="shared" si="5"/>
        <v>1</v>
      </c>
    </row>
    <row r="71" spans="1:8" x14ac:dyDescent="0.35">
      <c r="A71" s="3" t="s">
        <v>47</v>
      </c>
      <c r="B71" s="3" t="s">
        <v>48</v>
      </c>
      <c r="C71" s="4" t="s">
        <v>5</v>
      </c>
      <c r="D71" s="4" t="s">
        <v>157</v>
      </c>
      <c r="E71" s="5">
        <v>1</v>
      </c>
      <c r="F71" s="5">
        <v>0</v>
      </c>
      <c r="G71" s="11">
        <f t="shared" si="4"/>
        <v>1</v>
      </c>
      <c r="H71" s="11">
        <f t="shared" si="5"/>
        <v>0</v>
      </c>
    </row>
    <row r="72" spans="1:8" x14ac:dyDescent="0.35">
      <c r="A72" s="7" t="s">
        <v>47</v>
      </c>
      <c r="B72" s="7" t="s">
        <v>48</v>
      </c>
      <c r="C72" s="8" t="s">
        <v>6</v>
      </c>
      <c r="D72" s="8" t="s">
        <v>165</v>
      </c>
      <c r="E72" s="9">
        <v>0.7</v>
      </c>
      <c r="F72" s="9">
        <v>0.3</v>
      </c>
      <c r="G72" s="12">
        <f t="shared" si="4"/>
        <v>1</v>
      </c>
      <c r="H72" s="12">
        <f t="shared" si="5"/>
        <v>0</v>
      </c>
    </row>
    <row r="73" spans="1:8" x14ac:dyDescent="0.35">
      <c r="A73" s="3" t="s">
        <v>47</v>
      </c>
      <c r="B73" s="3" t="s">
        <v>48</v>
      </c>
      <c r="C73" s="4" t="s">
        <v>7</v>
      </c>
      <c r="D73" s="4" t="s">
        <v>165</v>
      </c>
      <c r="E73" s="5">
        <v>0.7</v>
      </c>
      <c r="F73" s="5">
        <v>0.3</v>
      </c>
      <c r="G73" s="11">
        <f t="shared" si="4"/>
        <v>1</v>
      </c>
      <c r="H73" s="11">
        <f t="shared" si="5"/>
        <v>0</v>
      </c>
    </row>
    <row r="74" spans="1:8" x14ac:dyDescent="0.35">
      <c r="A74" s="7" t="s">
        <v>47</v>
      </c>
      <c r="B74" s="7" t="s">
        <v>49</v>
      </c>
      <c r="C74" s="8" t="s">
        <v>5</v>
      </c>
      <c r="D74" s="8" t="s">
        <v>157</v>
      </c>
      <c r="E74" s="9">
        <v>1</v>
      </c>
      <c r="F74" s="9">
        <v>0</v>
      </c>
      <c r="G74" s="12">
        <f t="shared" si="4"/>
        <v>1</v>
      </c>
      <c r="H74" s="12">
        <f t="shared" si="5"/>
        <v>0</v>
      </c>
    </row>
    <row r="75" spans="1:8" x14ac:dyDescent="0.35">
      <c r="A75" s="3" t="s">
        <v>47</v>
      </c>
      <c r="B75" s="3" t="s">
        <v>49</v>
      </c>
      <c r="C75" s="4" t="s">
        <v>6</v>
      </c>
      <c r="D75" s="4" t="s">
        <v>165</v>
      </c>
      <c r="E75" s="5">
        <v>0.7</v>
      </c>
      <c r="F75" s="5">
        <v>0.3</v>
      </c>
      <c r="G75" s="11">
        <f t="shared" si="4"/>
        <v>1</v>
      </c>
      <c r="H75" s="11">
        <f t="shared" si="5"/>
        <v>0</v>
      </c>
    </row>
    <row r="76" spans="1:8" x14ac:dyDescent="0.35">
      <c r="A76" s="7" t="s">
        <v>47</v>
      </c>
      <c r="B76" s="7" t="s">
        <v>49</v>
      </c>
      <c r="C76" s="8" t="s">
        <v>7</v>
      </c>
      <c r="D76" s="8" t="s">
        <v>165</v>
      </c>
      <c r="E76" s="9">
        <v>0.7</v>
      </c>
      <c r="F76" s="9">
        <v>0.3</v>
      </c>
      <c r="G76" s="12">
        <f t="shared" si="4"/>
        <v>1</v>
      </c>
      <c r="H76" s="12">
        <f t="shared" si="5"/>
        <v>0</v>
      </c>
    </row>
    <row r="77" spans="1:8" x14ac:dyDescent="0.35">
      <c r="A77" s="3" t="s">
        <v>47</v>
      </c>
      <c r="B77" s="3" t="s">
        <v>50</v>
      </c>
      <c r="C77" s="4" t="s">
        <v>5</v>
      </c>
      <c r="D77" s="4" t="s">
        <v>157</v>
      </c>
      <c r="E77" s="5">
        <v>1</v>
      </c>
      <c r="F77" s="5">
        <v>0</v>
      </c>
      <c r="G77" s="11">
        <f t="shared" si="4"/>
        <v>1</v>
      </c>
      <c r="H77" s="11">
        <f t="shared" si="5"/>
        <v>0</v>
      </c>
    </row>
    <row r="78" spans="1:8" x14ac:dyDescent="0.35">
      <c r="A78" s="7" t="s">
        <v>47</v>
      </c>
      <c r="B78" s="7" t="s">
        <v>50</v>
      </c>
      <c r="C78" s="8" t="s">
        <v>6</v>
      </c>
      <c r="D78" s="8" t="s">
        <v>165</v>
      </c>
      <c r="E78" s="9">
        <v>0.7</v>
      </c>
      <c r="F78" s="9">
        <v>0.3</v>
      </c>
      <c r="G78" s="12">
        <f t="shared" si="4"/>
        <v>1</v>
      </c>
      <c r="H78" s="12">
        <f t="shared" si="5"/>
        <v>0</v>
      </c>
    </row>
    <row r="79" spans="1:8" x14ac:dyDescent="0.35">
      <c r="A79" s="3" t="s">
        <v>47</v>
      </c>
      <c r="B79" s="3" t="s">
        <v>50</v>
      </c>
      <c r="C79" s="4" t="s">
        <v>7</v>
      </c>
      <c r="D79" s="4" t="s">
        <v>165</v>
      </c>
      <c r="E79" s="5">
        <v>0.7</v>
      </c>
      <c r="F79" s="5">
        <v>0.3</v>
      </c>
      <c r="G79" s="11">
        <f t="shared" si="4"/>
        <v>1</v>
      </c>
      <c r="H79" s="11">
        <f t="shared" si="5"/>
        <v>0</v>
      </c>
    </row>
    <row r="80" spans="1:8" x14ac:dyDescent="0.35">
      <c r="A80" s="7" t="s">
        <v>47</v>
      </c>
      <c r="B80" s="7" t="s">
        <v>51</v>
      </c>
      <c r="C80" s="8" t="s">
        <v>5</v>
      </c>
      <c r="D80" s="8" t="s">
        <v>157</v>
      </c>
      <c r="E80" s="9">
        <v>1</v>
      </c>
      <c r="F80" s="9">
        <v>0</v>
      </c>
      <c r="G80" s="12">
        <f t="shared" si="4"/>
        <v>1</v>
      </c>
      <c r="H80" s="12">
        <f t="shared" si="5"/>
        <v>0</v>
      </c>
    </row>
    <row r="81" spans="1:8" x14ac:dyDescent="0.35">
      <c r="A81" s="3" t="s">
        <v>47</v>
      </c>
      <c r="B81" s="3" t="s">
        <v>51</v>
      </c>
      <c r="C81" s="4" t="s">
        <v>6</v>
      </c>
      <c r="D81" s="4" t="s">
        <v>165</v>
      </c>
      <c r="E81" s="5">
        <v>0.7</v>
      </c>
      <c r="F81" s="5">
        <v>0.3</v>
      </c>
      <c r="G81" s="11">
        <f t="shared" si="4"/>
        <v>1</v>
      </c>
      <c r="H81" s="11">
        <f t="shared" si="5"/>
        <v>0</v>
      </c>
    </row>
    <row r="82" spans="1:8" x14ac:dyDescent="0.35">
      <c r="A82" s="7" t="s">
        <v>47</v>
      </c>
      <c r="B82" s="7" t="s">
        <v>51</v>
      </c>
      <c r="C82" s="8" t="s">
        <v>7</v>
      </c>
      <c r="D82" s="8" t="s">
        <v>165</v>
      </c>
      <c r="E82" s="9">
        <v>0.7</v>
      </c>
      <c r="F82" s="9">
        <v>0.3</v>
      </c>
      <c r="G82" s="12">
        <f t="shared" si="4"/>
        <v>1</v>
      </c>
      <c r="H82" s="12">
        <f t="shared" si="5"/>
        <v>0</v>
      </c>
    </row>
    <row r="83" spans="1:8" x14ac:dyDescent="0.35">
      <c r="A83" s="3" t="s">
        <v>52</v>
      </c>
      <c r="B83" s="3" t="s">
        <v>53</v>
      </c>
      <c r="C83" s="4" t="s">
        <v>5</v>
      </c>
      <c r="D83" s="4" t="s">
        <v>157</v>
      </c>
      <c r="E83" s="5">
        <v>1</v>
      </c>
      <c r="F83" s="5">
        <v>0</v>
      </c>
      <c r="G83" s="11">
        <f t="shared" si="4"/>
        <v>1</v>
      </c>
      <c r="H83" s="11">
        <f t="shared" si="5"/>
        <v>0</v>
      </c>
    </row>
    <row r="84" spans="1:8" x14ac:dyDescent="0.35">
      <c r="A84" s="7" t="s">
        <v>52</v>
      </c>
      <c r="B84" s="7" t="s">
        <v>53</v>
      </c>
      <c r="C84" s="8" t="s">
        <v>6</v>
      </c>
      <c r="D84" s="8" t="s">
        <v>157</v>
      </c>
      <c r="E84" s="9">
        <v>1</v>
      </c>
      <c r="F84" s="9">
        <v>0</v>
      </c>
      <c r="G84" s="12">
        <f t="shared" si="4"/>
        <v>1</v>
      </c>
      <c r="H84" s="12">
        <f t="shared" si="5"/>
        <v>0</v>
      </c>
    </row>
    <row r="85" spans="1:8" x14ac:dyDescent="0.35">
      <c r="A85" s="3" t="s">
        <v>52</v>
      </c>
      <c r="B85" s="3" t="s">
        <v>53</v>
      </c>
      <c r="C85" s="4" t="s">
        <v>7</v>
      </c>
      <c r="D85" s="4" t="s">
        <v>157</v>
      </c>
      <c r="E85" s="5">
        <v>1</v>
      </c>
      <c r="F85" s="5">
        <v>0</v>
      </c>
      <c r="G85" s="11">
        <f t="shared" si="4"/>
        <v>1</v>
      </c>
      <c r="H85" s="11">
        <f t="shared" si="5"/>
        <v>0</v>
      </c>
    </row>
    <row r="86" spans="1:8" x14ac:dyDescent="0.35">
      <c r="A86" s="7" t="s">
        <v>52</v>
      </c>
      <c r="B86" s="7" t="s">
        <v>54</v>
      </c>
      <c r="C86" s="8" t="s">
        <v>5</v>
      </c>
      <c r="D86" s="8" t="s">
        <v>157</v>
      </c>
      <c r="E86" s="9">
        <v>1</v>
      </c>
      <c r="F86" s="9">
        <v>0</v>
      </c>
      <c r="G86" s="12">
        <f t="shared" si="4"/>
        <v>1</v>
      </c>
      <c r="H86" s="12">
        <f t="shared" si="5"/>
        <v>0</v>
      </c>
    </row>
    <row r="87" spans="1:8" x14ac:dyDescent="0.35">
      <c r="A87" s="3" t="s">
        <v>52</v>
      </c>
      <c r="B87" s="3" t="s">
        <v>54</v>
      </c>
      <c r="C87" s="4" t="s">
        <v>6</v>
      </c>
      <c r="D87" s="4" t="s">
        <v>157</v>
      </c>
      <c r="E87" s="5">
        <v>1</v>
      </c>
      <c r="F87" s="5">
        <v>0</v>
      </c>
      <c r="G87" s="11">
        <f t="shared" si="4"/>
        <v>1</v>
      </c>
      <c r="H87" s="11">
        <f t="shared" si="5"/>
        <v>0</v>
      </c>
    </row>
    <row r="88" spans="1:8" x14ac:dyDescent="0.35">
      <c r="A88" s="7" t="s">
        <v>52</v>
      </c>
      <c r="B88" s="7" t="s">
        <v>54</v>
      </c>
      <c r="C88" s="8" t="s">
        <v>7</v>
      </c>
      <c r="D88" s="8" t="s">
        <v>157</v>
      </c>
      <c r="E88" s="9">
        <v>1</v>
      </c>
      <c r="F88" s="9">
        <v>0</v>
      </c>
      <c r="G88" s="12">
        <f t="shared" si="4"/>
        <v>1</v>
      </c>
      <c r="H88" s="12">
        <f t="shared" si="5"/>
        <v>0</v>
      </c>
    </row>
    <row r="89" spans="1:8" x14ac:dyDescent="0.35">
      <c r="A89" s="3" t="s">
        <v>52</v>
      </c>
      <c r="B89" s="3" t="s">
        <v>55</v>
      </c>
      <c r="C89" s="4" t="s">
        <v>5</v>
      </c>
      <c r="D89" s="4" t="s">
        <v>157</v>
      </c>
      <c r="E89" s="5">
        <v>1</v>
      </c>
      <c r="F89" s="5">
        <v>0</v>
      </c>
      <c r="G89" s="11">
        <f t="shared" si="4"/>
        <v>1</v>
      </c>
      <c r="H89" s="11">
        <f t="shared" si="5"/>
        <v>0</v>
      </c>
    </row>
    <row r="90" spans="1:8" x14ac:dyDescent="0.35">
      <c r="A90" s="7" t="s">
        <v>52</v>
      </c>
      <c r="B90" s="7" t="s">
        <v>55</v>
      </c>
      <c r="C90" s="8" t="s">
        <v>6</v>
      </c>
      <c r="D90" s="8" t="s">
        <v>157</v>
      </c>
      <c r="E90" s="9">
        <v>1</v>
      </c>
      <c r="F90" s="9">
        <v>0</v>
      </c>
      <c r="G90" s="12">
        <f t="shared" si="4"/>
        <v>1</v>
      </c>
      <c r="H90" s="12">
        <f t="shared" si="5"/>
        <v>0</v>
      </c>
    </row>
    <row r="91" spans="1:8" x14ac:dyDescent="0.35">
      <c r="A91" s="3" t="s">
        <v>52</v>
      </c>
      <c r="B91" s="3" t="s">
        <v>55</v>
      </c>
      <c r="C91" s="4" t="s">
        <v>7</v>
      </c>
      <c r="D91" s="4" t="s">
        <v>157</v>
      </c>
      <c r="E91" s="5">
        <v>1</v>
      </c>
      <c r="F91" s="5">
        <v>0</v>
      </c>
      <c r="G91" s="11">
        <f t="shared" si="4"/>
        <v>1</v>
      </c>
      <c r="H91" s="11">
        <f t="shared" si="5"/>
        <v>0</v>
      </c>
    </row>
    <row r="92" spans="1:8" x14ac:dyDescent="0.35">
      <c r="A92" s="7" t="s">
        <v>56</v>
      </c>
      <c r="B92" s="7" t="s">
        <v>57</v>
      </c>
      <c r="C92" s="8" t="s">
        <v>5</v>
      </c>
      <c r="D92" s="8" t="s">
        <v>157</v>
      </c>
      <c r="E92" s="9">
        <v>1</v>
      </c>
      <c r="F92" s="9">
        <v>0</v>
      </c>
      <c r="G92" s="12">
        <f t="shared" si="4"/>
        <v>1</v>
      </c>
      <c r="H92" s="12">
        <f t="shared" si="5"/>
        <v>0</v>
      </c>
    </row>
    <row r="93" spans="1:8" x14ac:dyDescent="0.35">
      <c r="A93" s="3" t="s">
        <v>56</v>
      </c>
      <c r="B93" s="3" t="s">
        <v>57</v>
      </c>
      <c r="C93" s="4" t="s">
        <v>6</v>
      </c>
      <c r="D93" s="4" t="s">
        <v>157</v>
      </c>
      <c r="E93" s="5">
        <v>1</v>
      </c>
      <c r="F93" s="5">
        <v>0</v>
      </c>
      <c r="G93" s="11">
        <f t="shared" si="4"/>
        <v>1</v>
      </c>
      <c r="H93" s="11">
        <f t="shared" si="5"/>
        <v>0</v>
      </c>
    </row>
    <row r="94" spans="1:8" x14ac:dyDescent="0.35">
      <c r="A94" s="7" t="s">
        <v>56</v>
      </c>
      <c r="B94" s="7" t="s">
        <v>57</v>
      </c>
      <c r="C94" s="8" t="s">
        <v>7</v>
      </c>
      <c r="D94" s="8" t="s">
        <v>166</v>
      </c>
      <c r="E94" s="9">
        <v>0</v>
      </c>
      <c r="F94" s="9">
        <v>1</v>
      </c>
      <c r="G94" s="12">
        <f t="shared" si="4"/>
        <v>1</v>
      </c>
      <c r="H94" s="12">
        <f t="shared" si="5"/>
        <v>0</v>
      </c>
    </row>
    <row r="95" spans="1:8" x14ac:dyDescent="0.35">
      <c r="A95" s="3" t="s">
        <v>56</v>
      </c>
      <c r="B95" s="3" t="s">
        <v>59</v>
      </c>
      <c r="C95" s="4" t="s">
        <v>5</v>
      </c>
      <c r="D95" s="4" t="s">
        <v>157</v>
      </c>
      <c r="E95" s="5">
        <v>1</v>
      </c>
      <c r="F95" s="5">
        <v>0</v>
      </c>
      <c r="G95" s="11">
        <f t="shared" si="4"/>
        <v>1</v>
      </c>
      <c r="H95" s="11">
        <f t="shared" si="5"/>
        <v>0</v>
      </c>
    </row>
    <row r="96" spans="1:8" x14ac:dyDescent="0.35">
      <c r="A96" s="7" t="s">
        <v>56</v>
      </c>
      <c r="B96" s="7" t="s">
        <v>59</v>
      </c>
      <c r="C96" s="8" t="s">
        <v>6</v>
      </c>
      <c r="D96" s="8" t="s">
        <v>157</v>
      </c>
      <c r="E96" s="9">
        <v>1</v>
      </c>
      <c r="F96" s="9">
        <v>0</v>
      </c>
      <c r="G96" s="12">
        <f t="shared" si="4"/>
        <v>1</v>
      </c>
      <c r="H96" s="12">
        <f t="shared" si="5"/>
        <v>0</v>
      </c>
    </row>
    <row r="97" spans="1:8" x14ac:dyDescent="0.35">
      <c r="A97" s="3" t="s">
        <v>56</v>
      </c>
      <c r="B97" s="3" t="s">
        <v>59</v>
      </c>
      <c r="C97" s="4" t="s">
        <v>7</v>
      </c>
      <c r="D97" s="4" t="s">
        <v>157</v>
      </c>
      <c r="E97" s="5">
        <v>1</v>
      </c>
      <c r="F97" s="5">
        <v>0</v>
      </c>
      <c r="G97" s="11">
        <f t="shared" si="4"/>
        <v>1</v>
      </c>
      <c r="H97" s="11">
        <f t="shared" si="5"/>
        <v>0</v>
      </c>
    </row>
    <row r="98" spans="1:8" x14ac:dyDescent="0.35">
      <c r="A98" s="7" t="s">
        <v>56</v>
      </c>
      <c r="B98" s="7" t="s">
        <v>60</v>
      </c>
      <c r="C98" s="8" t="s">
        <v>5</v>
      </c>
      <c r="D98" s="8" t="s">
        <v>157</v>
      </c>
      <c r="E98" s="9">
        <v>1</v>
      </c>
      <c r="F98" s="9">
        <v>0</v>
      </c>
      <c r="G98" s="12">
        <f t="shared" si="4"/>
        <v>1</v>
      </c>
      <c r="H98" s="12">
        <f t="shared" si="5"/>
        <v>0</v>
      </c>
    </row>
    <row r="99" spans="1:8" x14ac:dyDescent="0.35">
      <c r="A99" s="3" t="s">
        <v>56</v>
      </c>
      <c r="B99" s="3" t="s">
        <v>60</v>
      </c>
      <c r="C99" s="4" t="s">
        <v>6</v>
      </c>
      <c r="D99" s="4" t="s">
        <v>157</v>
      </c>
      <c r="E99" s="5">
        <v>1</v>
      </c>
      <c r="F99" s="5">
        <v>0</v>
      </c>
      <c r="G99" s="11">
        <f t="shared" si="4"/>
        <v>1</v>
      </c>
      <c r="H99" s="11">
        <f t="shared" si="5"/>
        <v>0</v>
      </c>
    </row>
    <row r="100" spans="1:8" x14ac:dyDescent="0.35">
      <c r="A100" s="7" t="s">
        <v>56</v>
      </c>
      <c r="B100" s="7" t="s">
        <v>60</v>
      </c>
      <c r="C100" s="8" t="s">
        <v>7</v>
      </c>
      <c r="D100" s="8" t="s">
        <v>157</v>
      </c>
      <c r="E100" s="9">
        <v>1</v>
      </c>
      <c r="F100" s="9">
        <v>0</v>
      </c>
      <c r="G100" s="12">
        <f t="shared" si="4"/>
        <v>1</v>
      </c>
      <c r="H100" s="12">
        <f t="shared" si="5"/>
        <v>0</v>
      </c>
    </row>
    <row r="101" spans="1:8" x14ac:dyDescent="0.35">
      <c r="A101" s="3" t="s">
        <v>56</v>
      </c>
      <c r="B101" s="3" t="s">
        <v>61</v>
      </c>
      <c r="C101" s="4" t="s">
        <v>5</v>
      </c>
      <c r="D101" s="4" t="s">
        <v>157</v>
      </c>
      <c r="E101" s="5">
        <v>1</v>
      </c>
      <c r="F101" s="5">
        <v>0</v>
      </c>
      <c r="G101" s="11">
        <f t="shared" ref="G101:G106" si="6">E101+F101</f>
        <v>1</v>
      </c>
      <c r="H101" s="11">
        <f t="shared" ref="H101:H106" si="7">1-G101</f>
        <v>0</v>
      </c>
    </row>
    <row r="102" spans="1:8" x14ac:dyDescent="0.35">
      <c r="A102" s="7" t="s">
        <v>56</v>
      </c>
      <c r="B102" s="7" t="s">
        <v>61</v>
      </c>
      <c r="C102" s="8" t="s">
        <v>6</v>
      </c>
      <c r="D102" s="8" t="s">
        <v>157</v>
      </c>
      <c r="E102" s="9">
        <v>1</v>
      </c>
      <c r="F102" s="9">
        <v>0</v>
      </c>
      <c r="G102" s="12">
        <f t="shared" si="6"/>
        <v>1</v>
      </c>
      <c r="H102" s="12">
        <f t="shared" si="7"/>
        <v>0</v>
      </c>
    </row>
    <row r="103" spans="1:8" x14ac:dyDescent="0.35">
      <c r="A103" s="3" t="s">
        <v>56</v>
      </c>
      <c r="B103" s="3" t="s">
        <v>61</v>
      </c>
      <c r="C103" s="4" t="s">
        <v>7</v>
      </c>
      <c r="D103" s="4" t="s">
        <v>166</v>
      </c>
      <c r="E103" s="5">
        <v>0</v>
      </c>
      <c r="F103" s="5">
        <v>1</v>
      </c>
      <c r="G103" s="11">
        <f t="shared" si="6"/>
        <v>1</v>
      </c>
      <c r="H103" s="11">
        <f t="shared" si="7"/>
        <v>0</v>
      </c>
    </row>
    <row r="104" spans="1:8" x14ac:dyDescent="0.35">
      <c r="A104" s="7" t="s">
        <v>56</v>
      </c>
      <c r="B104" s="7" t="s">
        <v>62</v>
      </c>
      <c r="C104" s="8" t="s">
        <v>5</v>
      </c>
      <c r="D104" s="8" t="s">
        <v>157</v>
      </c>
      <c r="E104" s="9">
        <v>1</v>
      </c>
      <c r="F104" s="9">
        <v>0</v>
      </c>
      <c r="G104" s="12">
        <f t="shared" si="6"/>
        <v>1</v>
      </c>
      <c r="H104" s="12">
        <f t="shared" si="7"/>
        <v>0</v>
      </c>
    </row>
    <row r="105" spans="1:8" x14ac:dyDescent="0.35">
      <c r="A105" s="3" t="s">
        <v>56</v>
      </c>
      <c r="B105" s="3" t="s">
        <v>62</v>
      </c>
      <c r="C105" s="4" t="s">
        <v>6</v>
      </c>
      <c r="D105" s="4" t="s">
        <v>167</v>
      </c>
      <c r="E105" s="5">
        <v>0.5</v>
      </c>
      <c r="F105" s="5">
        <v>0</v>
      </c>
      <c r="G105" s="11">
        <f t="shared" si="6"/>
        <v>0.5</v>
      </c>
      <c r="H105" s="11">
        <f t="shared" si="7"/>
        <v>0.5</v>
      </c>
    </row>
    <row r="106" spans="1:8" x14ac:dyDescent="0.35">
      <c r="A106" s="7" t="s">
        <v>56</v>
      </c>
      <c r="B106" s="7" t="s">
        <v>62</v>
      </c>
      <c r="C106" s="8" t="s">
        <v>7</v>
      </c>
      <c r="D106" s="8" t="s">
        <v>160</v>
      </c>
      <c r="E106" s="9">
        <v>0</v>
      </c>
      <c r="F106" s="9">
        <v>0</v>
      </c>
      <c r="G106" s="12">
        <f t="shared" si="6"/>
        <v>0</v>
      </c>
      <c r="H106" s="12">
        <f t="shared" si="7"/>
        <v>1</v>
      </c>
    </row>
  </sheetData>
  <autoFilter ref="A4:H106" xr:uid="{00000000-0009-0000-0000-000003000000}"/>
  <mergeCells count="2">
    <mergeCell ref="A2:H2"/>
    <mergeCell ref="A1:H1"/>
  </mergeCells>
  <conditionalFormatting sqref="H5:H106">
    <cfRule type="cellIs" dxfId="0" priority="1" operator="greaterThan">
      <formula>0</formula>
    </cfRule>
  </conditionalFormatting>
  <pageMargins left="0.25" right="0.2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8"/>
  <sheetViews>
    <sheetView showGridLines="0"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38" customWidth="1"/>
    <col min="2" max="2" width="33" customWidth="1"/>
    <col min="3" max="3" width="20" customWidth="1"/>
    <col min="4" max="4" width="10" customWidth="1"/>
    <col min="5" max="6" width="38" customWidth="1"/>
  </cols>
  <sheetData>
    <row r="1" spans="1:6" ht="30" customHeight="1" x14ac:dyDescent="0.35">
      <c r="A1" s="46" t="s">
        <v>168</v>
      </c>
      <c r="B1" s="44"/>
      <c r="C1" s="44"/>
      <c r="D1" s="44"/>
      <c r="E1" s="44"/>
      <c r="F1" s="44"/>
    </row>
    <row r="2" spans="1:6" ht="30" customHeight="1" x14ac:dyDescent="0.35">
      <c r="A2" s="45" t="s">
        <v>169</v>
      </c>
      <c r="B2" s="44"/>
      <c r="C2" s="44"/>
      <c r="D2" s="44"/>
      <c r="E2" s="44"/>
      <c r="F2" s="44"/>
    </row>
    <row r="4" spans="1:6" x14ac:dyDescent="0.35">
      <c r="A4" s="1" t="s">
        <v>9</v>
      </c>
      <c r="B4" s="1" t="s">
        <v>170</v>
      </c>
      <c r="C4" s="2" t="s">
        <v>171</v>
      </c>
      <c r="D4" s="2" t="s">
        <v>16</v>
      </c>
      <c r="E4" s="2" t="s">
        <v>8</v>
      </c>
      <c r="F4" s="2" t="s">
        <v>172</v>
      </c>
    </row>
    <row r="5" spans="1:6" x14ac:dyDescent="0.35">
      <c r="A5" s="3" t="s">
        <v>18</v>
      </c>
      <c r="B5" s="3" t="s">
        <v>87</v>
      </c>
      <c r="C5" s="13">
        <v>1</v>
      </c>
      <c r="D5" s="4" t="s">
        <v>19</v>
      </c>
      <c r="E5" s="4" t="s">
        <v>17</v>
      </c>
      <c r="F5" s="4"/>
    </row>
    <row r="6" spans="1:6" x14ac:dyDescent="0.35">
      <c r="A6" s="7" t="s">
        <v>20</v>
      </c>
      <c r="B6" s="7" t="s">
        <v>173</v>
      </c>
      <c r="C6" s="14">
        <v>1</v>
      </c>
      <c r="D6" s="8" t="s">
        <v>19</v>
      </c>
      <c r="E6" s="8" t="s">
        <v>17</v>
      </c>
      <c r="F6" s="8"/>
    </row>
    <row r="7" spans="1:6" ht="29" x14ac:dyDescent="0.35">
      <c r="A7" s="3" t="s">
        <v>21</v>
      </c>
      <c r="B7" s="3" t="s">
        <v>174</v>
      </c>
      <c r="C7" s="13">
        <v>1</v>
      </c>
      <c r="D7" s="4" t="s">
        <v>19</v>
      </c>
      <c r="E7" s="4" t="s">
        <v>17</v>
      </c>
      <c r="F7" s="4"/>
    </row>
    <row r="8" spans="1:6" x14ac:dyDescent="0.35">
      <c r="A8" s="7" t="s">
        <v>23</v>
      </c>
      <c r="B8" s="7" t="s">
        <v>175</v>
      </c>
      <c r="C8" s="14">
        <v>0.80851063829787229</v>
      </c>
      <c r="D8" s="8" t="s">
        <v>19</v>
      </c>
      <c r="E8" s="8" t="s">
        <v>22</v>
      </c>
      <c r="F8" s="8"/>
    </row>
    <row r="9" spans="1:6" x14ac:dyDescent="0.35">
      <c r="A9" s="3" t="s">
        <v>25</v>
      </c>
      <c r="B9" s="3" t="s">
        <v>176</v>
      </c>
      <c r="C9" s="13">
        <v>1</v>
      </c>
      <c r="D9" s="4" t="s">
        <v>19</v>
      </c>
      <c r="E9" s="4" t="s">
        <v>24</v>
      </c>
      <c r="F9" s="4"/>
    </row>
    <row r="10" spans="1:6" x14ac:dyDescent="0.35">
      <c r="A10" s="7" t="s">
        <v>26</v>
      </c>
      <c r="B10" s="7" t="s">
        <v>177</v>
      </c>
      <c r="C10" s="14">
        <v>1</v>
      </c>
      <c r="D10" s="8" t="s">
        <v>19</v>
      </c>
      <c r="E10" s="8" t="s">
        <v>24</v>
      </c>
      <c r="F10" s="8"/>
    </row>
    <row r="11" spans="1:6" x14ac:dyDescent="0.35">
      <c r="A11" s="3" t="s">
        <v>27</v>
      </c>
      <c r="B11" s="3" t="s">
        <v>178</v>
      </c>
      <c r="C11" s="13">
        <v>1</v>
      </c>
      <c r="D11" s="4" t="s">
        <v>19</v>
      </c>
      <c r="E11" s="4" t="s">
        <v>24</v>
      </c>
      <c r="F11" s="4"/>
    </row>
    <row r="12" spans="1:6" x14ac:dyDescent="0.35">
      <c r="A12" s="7" t="s">
        <v>28</v>
      </c>
      <c r="B12" s="7" t="s">
        <v>179</v>
      </c>
      <c r="C12" s="14">
        <v>1</v>
      </c>
      <c r="D12" s="8" t="s">
        <v>19</v>
      </c>
      <c r="E12" s="8" t="s">
        <v>24</v>
      </c>
      <c r="F12" s="8"/>
    </row>
    <row r="13" spans="1:6" x14ac:dyDescent="0.35">
      <c r="A13" s="3" t="s">
        <v>30</v>
      </c>
      <c r="B13" s="3" t="s">
        <v>107</v>
      </c>
      <c r="C13" s="13">
        <v>1</v>
      </c>
      <c r="D13" s="4" t="s">
        <v>19</v>
      </c>
      <c r="E13" s="4" t="s">
        <v>29</v>
      </c>
      <c r="F13" s="4"/>
    </row>
    <row r="14" spans="1:6" x14ac:dyDescent="0.35">
      <c r="A14" s="7" t="s">
        <v>31</v>
      </c>
      <c r="B14" s="7" t="s">
        <v>180</v>
      </c>
      <c r="C14" s="14">
        <v>0.82352941176470584</v>
      </c>
      <c r="D14" s="8" t="s">
        <v>19</v>
      </c>
      <c r="E14" s="8" t="s">
        <v>29</v>
      </c>
      <c r="F14" s="8"/>
    </row>
    <row r="15" spans="1:6" x14ac:dyDescent="0.35">
      <c r="A15" s="3" t="s">
        <v>32</v>
      </c>
      <c r="B15" s="3" t="s">
        <v>95</v>
      </c>
      <c r="C15" s="13">
        <v>1</v>
      </c>
      <c r="D15" s="4" t="s">
        <v>19</v>
      </c>
      <c r="E15" s="4" t="s">
        <v>29</v>
      </c>
      <c r="F15" s="4"/>
    </row>
    <row r="16" spans="1:6" x14ac:dyDescent="0.35">
      <c r="A16" s="7" t="s">
        <v>33</v>
      </c>
      <c r="B16" s="7" t="s">
        <v>181</v>
      </c>
      <c r="C16" s="14">
        <v>1</v>
      </c>
      <c r="D16" s="8" t="s">
        <v>19</v>
      </c>
      <c r="E16" s="8" t="s">
        <v>29</v>
      </c>
      <c r="F16" s="8"/>
    </row>
    <row r="17" spans="1:6" x14ac:dyDescent="0.35">
      <c r="A17" s="3" t="s">
        <v>34</v>
      </c>
      <c r="B17" s="3" t="s">
        <v>182</v>
      </c>
      <c r="C17" s="13">
        <v>1</v>
      </c>
      <c r="D17" s="4" t="s">
        <v>19</v>
      </c>
      <c r="E17" s="4" t="s">
        <v>29</v>
      </c>
      <c r="F17" s="4"/>
    </row>
    <row r="18" spans="1:6" x14ac:dyDescent="0.35">
      <c r="A18" s="7" t="s">
        <v>35</v>
      </c>
      <c r="B18" s="7" t="s">
        <v>183</v>
      </c>
      <c r="C18" s="14">
        <v>1</v>
      </c>
      <c r="D18" s="8" t="s">
        <v>19</v>
      </c>
      <c r="E18" s="8" t="s">
        <v>29</v>
      </c>
      <c r="F18" s="8"/>
    </row>
    <row r="19" spans="1:6" x14ac:dyDescent="0.35">
      <c r="A19" s="3" t="s">
        <v>37</v>
      </c>
      <c r="B19" s="3" t="s">
        <v>184</v>
      </c>
      <c r="C19" s="13">
        <v>1</v>
      </c>
      <c r="D19" s="4" t="s">
        <v>19</v>
      </c>
      <c r="E19" s="4" t="s">
        <v>36</v>
      </c>
      <c r="F19" s="4"/>
    </row>
    <row r="20" spans="1:6" x14ac:dyDescent="0.35">
      <c r="A20" s="7" t="s">
        <v>38</v>
      </c>
      <c r="B20" s="7" t="s">
        <v>185</v>
      </c>
      <c r="C20" s="14">
        <v>1</v>
      </c>
      <c r="D20" s="8" t="s">
        <v>19</v>
      </c>
      <c r="E20" s="8" t="s">
        <v>36</v>
      </c>
      <c r="F20" s="8"/>
    </row>
    <row r="21" spans="1:6" x14ac:dyDescent="0.35">
      <c r="A21" s="3" t="s">
        <v>39</v>
      </c>
      <c r="B21" s="3" t="s">
        <v>186</v>
      </c>
      <c r="C21" s="13">
        <v>1</v>
      </c>
      <c r="D21" s="4" t="s">
        <v>19</v>
      </c>
      <c r="E21" s="4" t="s">
        <v>36</v>
      </c>
      <c r="F21" s="4"/>
    </row>
    <row r="22" spans="1:6" x14ac:dyDescent="0.35">
      <c r="A22" s="7" t="s">
        <v>41</v>
      </c>
      <c r="B22" s="7" t="s">
        <v>187</v>
      </c>
      <c r="C22" s="14">
        <v>1</v>
      </c>
      <c r="D22" s="8" t="s">
        <v>19</v>
      </c>
      <c r="E22" s="8" t="s">
        <v>40</v>
      </c>
      <c r="F22" s="8"/>
    </row>
    <row r="23" spans="1:6" x14ac:dyDescent="0.35">
      <c r="A23" s="3" t="s">
        <v>42</v>
      </c>
      <c r="B23" s="3" t="s">
        <v>188</v>
      </c>
      <c r="C23" s="13">
        <v>1</v>
      </c>
      <c r="D23" s="4" t="s">
        <v>19</v>
      </c>
      <c r="E23" s="4" t="s">
        <v>40</v>
      </c>
      <c r="F23" s="4"/>
    </row>
    <row r="24" spans="1:6" x14ac:dyDescent="0.35">
      <c r="A24" s="7" t="s">
        <v>44</v>
      </c>
      <c r="B24" s="7" t="s">
        <v>189</v>
      </c>
      <c r="C24" s="14">
        <v>1</v>
      </c>
      <c r="D24" s="8" t="s">
        <v>19</v>
      </c>
      <c r="E24" s="8" t="s">
        <v>43</v>
      </c>
      <c r="F24" s="8"/>
    </row>
    <row r="25" spans="1:6" x14ac:dyDescent="0.35">
      <c r="A25" s="3" t="s">
        <v>45</v>
      </c>
      <c r="B25" s="3" t="s">
        <v>190</v>
      </c>
      <c r="C25" s="13">
        <v>1</v>
      </c>
      <c r="D25" s="4" t="s">
        <v>19</v>
      </c>
      <c r="E25" s="4" t="s">
        <v>43</v>
      </c>
      <c r="F25" s="4"/>
    </row>
    <row r="26" spans="1:6" x14ac:dyDescent="0.35">
      <c r="A26" s="7" t="s">
        <v>46</v>
      </c>
      <c r="B26" s="7" t="s">
        <v>191</v>
      </c>
      <c r="C26" s="14">
        <v>0.8</v>
      </c>
      <c r="D26" s="8" t="s">
        <v>19</v>
      </c>
      <c r="E26" s="8" t="s">
        <v>43</v>
      </c>
      <c r="F26" s="8"/>
    </row>
    <row r="27" spans="1:6" x14ac:dyDescent="0.35">
      <c r="A27" s="3" t="s">
        <v>48</v>
      </c>
      <c r="B27" s="3" t="s">
        <v>91</v>
      </c>
      <c r="C27" s="13">
        <v>1</v>
      </c>
      <c r="D27" s="4" t="s">
        <v>19</v>
      </c>
      <c r="E27" s="4" t="s">
        <v>47</v>
      </c>
      <c r="F27" s="4"/>
    </row>
    <row r="28" spans="1:6" x14ac:dyDescent="0.35">
      <c r="A28" s="7" t="s">
        <v>49</v>
      </c>
      <c r="B28" s="7" t="s">
        <v>192</v>
      </c>
      <c r="C28" s="14">
        <v>1</v>
      </c>
      <c r="D28" s="8" t="s">
        <v>19</v>
      </c>
      <c r="E28" s="8" t="s">
        <v>47</v>
      </c>
      <c r="F28" s="8"/>
    </row>
    <row r="29" spans="1:6" x14ac:dyDescent="0.35">
      <c r="A29" s="3" t="s">
        <v>50</v>
      </c>
      <c r="B29" s="3" t="s">
        <v>193</v>
      </c>
      <c r="C29" s="13">
        <v>0.72340425531914898</v>
      </c>
      <c r="D29" s="4" t="s">
        <v>19</v>
      </c>
      <c r="E29" s="4" t="s">
        <v>47</v>
      </c>
      <c r="F29" s="4" t="s">
        <v>194</v>
      </c>
    </row>
    <row r="30" spans="1:6" x14ac:dyDescent="0.35">
      <c r="A30" s="7" t="s">
        <v>51</v>
      </c>
      <c r="B30" s="7" t="s">
        <v>195</v>
      </c>
      <c r="C30" s="14">
        <v>1</v>
      </c>
      <c r="D30" s="8" t="s">
        <v>19</v>
      </c>
      <c r="E30" s="8" t="s">
        <v>47</v>
      </c>
      <c r="F30" s="8"/>
    </row>
    <row r="31" spans="1:6" x14ac:dyDescent="0.35">
      <c r="A31" s="3" t="s">
        <v>53</v>
      </c>
      <c r="B31" s="3" t="s">
        <v>196</v>
      </c>
      <c r="C31" s="13">
        <v>1</v>
      </c>
      <c r="D31" s="4" t="s">
        <v>19</v>
      </c>
      <c r="E31" s="4" t="s">
        <v>52</v>
      </c>
      <c r="F31" s="4"/>
    </row>
    <row r="32" spans="1:6" x14ac:dyDescent="0.35">
      <c r="A32" s="7" t="s">
        <v>54</v>
      </c>
      <c r="B32" s="7" t="s">
        <v>197</v>
      </c>
      <c r="C32" s="14">
        <v>1</v>
      </c>
      <c r="D32" s="8" t="s">
        <v>19</v>
      </c>
      <c r="E32" s="8" t="s">
        <v>52</v>
      </c>
      <c r="F32" s="8"/>
    </row>
    <row r="33" spans="1:6" x14ac:dyDescent="0.35">
      <c r="A33" s="3" t="s">
        <v>55</v>
      </c>
      <c r="B33" s="3" t="s">
        <v>198</v>
      </c>
      <c r="C33" s="13">
        <v>1</v>
      </c>
      <c r="D33" s="4" t="s">
        <v>19</v>
      </c>
      <c r="E33" s="4" t="s">
        <v>52</v>
      </c>
      <c r="F33" s="4"/>
    </row>
    <row r="34" spans="1:6" x14ac:dyDescent="0.35">
      <c r="A34" s="7" t="s">
        <v>57</v>
      </c>
      <c r="B34" s="7"/>
      <c r="C34" s="14">
        <v>0.45</v>
      </c>
      <c r="D34" s="8" t="s">
        <v>58</v>
      </c>
      <c r="E34" s="8" t="s">
        <v>56</v>
      </c>
      <c r="F34" s="8" t="s">
        <v>199</v>
      </c>
    </row>
    <row r="35" spans="1:6" x14ac:dyDescent="0.35">
      <c r="A35" s="3" t="s">
        <v>59</v>
      </c>
      <c r="B35" s="3"/>
      <c r="C35" s="13">
        <v>0.60869565217391308</v>
      </c>
      <c r="D35" s="4" t="s">
        <v>58</v>
      </c>
      <c r="E35" s="4" t="s">
        <v>56</v>
      </c>
      <c r="F35" s="4" t="s">
        <v>199</v>
      </c>
    </row>
    <row r="36" spans="1:6" x14ac:dyDescent="0.35">
      <c r="A36" s="7" t="s">
        <v>60</v>
      </c>
      <c r="B36" s="7"/>
      <c r="C36" s="14">
        <v>0.48275862068965519</v>
      </c>
      <c r="D36" s="8" t="s">
        <v>58</v>
      </c>
      <c r="E36" s="8" t="s">
        <v>56</v>
      </c>
      <c r="F36" s="8" t="s">
        <v>199</v>
      </c>
    </row>
    <row r="37" spans="1:6" x14ac:dyDescent="0.35">
      <c r="A37" s="3" t="s">
        <v>61</v>
      </c>
      <c r="B37" s="3"/>
      <c r="C37" s="13">
        <v>0.51851851851851849</v>
      </c>
      <c r="D37" s="4" t="s">
        <v>58</v>
      </c>
      <c r="E37" s="4" t="s">
        <v>56</v>
      </c>
      <c r="F37" s="4" t="s">
        <v>199</v>
      </c>
    </row>
    <row r="38" spans="1:6" x14ac:dyDescent="0.35">
      <c r="A38" s="7" t="s">
        <v>62</v>
      </c>
      <c r="B38" s="7"/>
      <c r="C38" s="14">
        <v>0.56000000000000005</v>
      </c>
      <c r="D38" s="8" t="s">
        <v>58</v>
      </c>
      <c r="E38" s="8" t="s">
        <v>56</v>
      </c>
      <c r="F38" s="8" t="s">
        <v>199</v>
      </c>
    </row>
  </sheetData>
  <autoFilter ref="A4:F38" xr:uid="{00000000-0009-0000-0000-000004000000}"/>
  <mergeCells count="2">
    <mergeCell ref="A2:F2"/>
    <mergeCell ref="A1:F1"/>
  </mergeCells>
  <pageMargins left="0.25" right="0.2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8"/>
  <sheetViews>
    <sheetView showGridLines="0" workbookViewId="0">
      <pane ySplit="4" topLeftCell="A5" activePane="bottomLeft" state="frozen"/>
      <selection pane="bottomLeft" sqref="A1:E1"/>
    </sheetView>
  </sheetViews>
  <sheetFormatPr baseColWidth="10" defaultColWidth="8.7265625" defaultRowHeight="14.5" x14ac:dyDescent="0.35"/>
  <cols>
    <col min="1" max="1" width="38" customWidth="1"/>
    <col min="2" max="2" width="14" customWidth="1"/>
    <col min="3" max="3" width="78" customWidth="1"/>
    <col min="4" max="4" width="32" customWidth="1"/>
    <col min="5" max="5" width="35" customWidth="1"/>
  </cols>
  <sheetData>
    <row r="1" spans="1:5" ht="30" customHeight="1" x14ac:dyDescent="0.35">
      <c r="A1" s="46" t="s">
        <v>200</v>
      </c>
      <c r="B1" s="44"/>
      <c r="C1" s="44"/>
      <c r="D1" s="44"/>
      <c r="E1" s="44"/>
    </row>
    <row r="2" spans="1:5" ht="30" customHeight="1" x14ac:dyDescent="0.35">
      <c r="A2" s="45" t="s">
        <v>201</v>
      </c>
      <c r="B2" s="44"/>
      <c r="C2" s="44"/>
      <c r="D2" s="44"/>
      <c r="E2" s="44"/>
    </row>
    <row r="4" spans="1:5" x14ac:dyDescent="0.35">
      <c r="A4" s="1" t="s">
        <v>66</v>
      </c>
      <c r="B4" s="1" t="s">
        <v>202</v>
      </c>
      <c r="C4" s="2" t="s">
        <v>71</v>
      </c>
      <c r="D4" s="2" t="s">
        <v>203</v>
      </c>
      <c r="E4" s="2" t="s">
        <v>204</v>
      </c>
    </row>
    <row r="5" spans="1:5" x14ac:dyDescent="0.35">
      <c r="A5" s="3" t="s">
        <v>205</v>
      </c>
      <c r="B5" s="3" t="s">
        <v>142</v>
      </c>
      <c r="C5" s="4" t="s">
        <v>206</v>
      </c>
      <c r="D5" s="4" t="s">
        <v>207</v>
      </c>
      <c r="E5" s="4" t="s">
        <v>208</v>
      </c>
    </row>
    <row r="6" spans="1:5" x14ac:dyDescent="0.35">
      <c r="A6" s="7" t="s">
        <v>205</v>
      </c>
      <c r="B6" s="7" t="s">
        <v>209</v>
      </c>
      <c r="C6" s="8" t="s">
        <v>210</v>
      </c>
      <c r="D6" s="8" t="s">
        <v>211</v>
      </c>
      <c r="E6" s="8" t="s">
        <v>212</v>
      </c>
    </row>
    <row r="7" spans="1:5" x14ac:dyDescent="0.35">
      <c r="A7" s="3" t="s">
        <v>205</v>
      </c>
      <c r="B7" s="3" t="s">
        <v>213</v>
      </c>
      <c r="C7" s="4" t="s">
        <v>268</v>
      </c>
      <c r="D7" s="4" t="s">
        <v>269</v>
      </c>
      <c r="E7" s="4" t="s">
        <v>270</v>
      </c>
    </row>
    <row r="8" spans="1:5" x14ac:dyDescent="0.35">
      <c r="A8" s="7" t="s">
        <v>214</v>
      </c>
      <c r="B8" s="7"/>
      <c r="C8" s="8" t="s">
        <v>215</v>
      </c>
      <c r="D8" s="8"/>
      <c r="E8" s="8"/>
    </row>
    <row r="9" spans="1:5" x14ac:dyDescent="0.35">
      <c r="A9" s="3" t="s">
        <v>214</v>
      </c>
      <c r="B9" s="3"/>
      <c r="C9" s="4" t="s">
        <v>252</v>
      </c>
      <c r="D9" s="4"/>
      <c r="E9" s="4"/>
    </row>
    <row r="10" spans="1:5" x14ac:dyDescent="0.35">
      <c r="A10" s="7" t="s">
        <v>214</v>
      </c>
      <c r="B10" s="7"/>
      <c r="C10" s="8" t="s">
        <v>216</v>
      </c>
      <c r="D10" s="8"/>
      <c r="E10" s="8"/>
    </row>
    <row r="11" spans="1:5" x14ac:dyDescent="0.35">
      <c r="A11" s="3" t="s">
        <v>214</v>
      </c>
      <c r="B11" s="3" t="s">
        <v>213</v>
      </c>
      <c r="C11" s="4" t="s">
        <v>268</v>
      </c>
      <c r="D11" s="4" t="s">
        <v>269</v>
      </c>
      <c r="E11" s="4" t="s">
        <v>270</v>
      </c>
    </row>
    <row r="12" spans="1:5" x14ac:dyDescent="0.35">
      <c r="A12" s="7" t="s">
        <v>214</v>
      </c>
      <c r="B12" s="7"/>
      <c r="C12" s="8" t="s">
        <v>217</v>
      </c>
      <c r="D12" s="8"/>
      <c r="E12" s="8"/>
    </row>
    <row r="13" spans="1:5" x14ac:dyDescent="0.35">
      <c r="A13" s="3" t="s">
        <v>214</v>
      </c>
      <c r="B13" s="3"/>
      <c r="C13" s="4" t="s">
        <v>218</v>
      </c>
      <c r="D13" s="4"/>
      <c r="E13" s="4"/>
    </row>
    <row r="14" spans="1:5" x14ac:dyDescent="0.35">
      <c r="A14" s="7" t="s">
        <v>214</v>
      </c>
      <c r="B14" s="7"/>
      <c r="C14" s="8" t="s">
        <v>219</v>
      </c>
      <c r="D14" s="8"/>
      <c r="E14" s="8"/>
    </row>
    <row r="15" spans="1:5" x14ac:dyDescent="0.35">
      <c r="A15" s="3" t="s">
        <v>220</v>
      </c>
      <c r="B15" s="3" t="s">
        <v>221</v>
      </c>
      <c r="C15" s="4" t="s">
        <v>253</v>
      </c>
      <c r="D15" s="4"/>
      <c r="E15" s="4" t="s">
        <v>222</v>
      </c>
    </row>
    <row r="16" spans="1:5" x14ac:dyDescent="0.35">
      <c r="A16" s="7" t="s">
        <v>223</v>
      </c>
      <c r="B16" s="7" t="s">
        <v>149</v>
      </c>
      <c r="C16" s="8" t="s">
        <v>224</v>
      </c>
      <c r="D16" s="8"/>
      <c r="E16" s="8" t="s">
        <v>225</v>
      </c>
    </row>
    <row r="17" spans="1:5" x14ac:dyDescent="0.35">
      <c r="A17" t="s">
        <v>311</v>
      </c>
    </row>
    <row r="18" spans="1:5" x14ac:dyDescent="0.35">
      <c r="A18" t="s">
        <v>311</v>
      </c>
      <c r="B18" t="s">
        <v>312</v>
      </c>
      <c r="C18" t="s">
        <v>313</v>
      </c>
      <c r="D18" t="s">
        <v>314</v>
      </c>
      <c r="E18" t="s">
        <v>315</v>
      </c>
    </row>
  </sheetData>
  <autoFilter ref="A4:E18" xr:uid="{00000000-0001-0000-0500-000000000000}"/>
  <mergeCells count="2">
    <mergeCell ref="A2:E2"/>
    <mergeCell ref="A1:E1"/>
  </mergeCells>
  <pageMargins left="0.25" right="0.2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1992-E19F-4548-8DFF-1AA0478AEBDC}">
  <sheetPr>
    <pageSetUpPr fitToPage="1"/>
  </sheetPr>
  <dimension ref="A1:G84"/>
  <sheetViews>
    <sheetView workbookViewId="0">
      <pane ySplit="4" topLeftCell="A5" activePane="bottomLeft" state="frozenSplit"/>
      <selection pane="bottomLeft" sqref="A1:G1"/>
    </sheetView>
  </sheetViews>
  <sheetFormatPr baseColWidth="10" defaultRowHeight="14.5" x14ac:dyDescent="0.35"/>
  <cols>
    <col min="1" max="3" width="13.6328125" customWidth="1"/>
    <col min="4" max="4" width="12.6328125" customWidth="1"/>
    <col min="5" max="5" width="52.6328125" customWidth="1"/>
    <col min="6" max="6" width="19.6328125" customWidth="1"/>
    <col min="7" max="7" width="18.6328125" customWidth="1"/>
  </cols>
  <sheetData>
    <row r="1" spans="1:7" ht="30" customHeight="1" x14ac:dyDescent="0.55000000000000004">
      <c r="A1" s="41" t="s">
        <v>226</v>
      </c>
      <c r="B1" s="42"/>
      <c r="C1" s="42"/>
      <c r="D1" s="42"/>
      <c r="E1" s="42"/>
      <c r="F1" s="42"/>
      <c r="G1" s="42"/>
    </row>
    <row r="2" spans="1:7" x14ac:dyDescent="0.35">
      <c r="A2" s="42" t="s">
        <v>227</v>
      </c>
      <c r="B2" s="42"/>
      <c r="C2" s="42"/>
      <c r="D2" s="42"/>
      <c r="E2" s="42"/>
      <c r="F2" s="42"/>
      <c r="G2" s="42"/>
    </row>
    <row r="3" spans="1:7" x14ac:dyDescent="0.35">
      <c r="A3" s="15"/>
      <c r="B3" s="15"/>
      <c r="C3" s="15"/>
      <c r="D3" s="15"/>
      <c r="E3" s="15"/>
      <c r="F3" s="15"/>
      <c r="G3" s="15"/>
    </row>
    <row r="4" spans="1:7" x14ac:dyDescent="0.35">
      <c r="A4" s="16" t="s">
        <v>228</v>
      </c>
      <c r="B4" s="16" t="s">
        <v>229</v>
      </c>
      <c r="C4" s="16" t="s">
        <v>1</v>
      </c>
      <c r="D4" s="16" t="s">
        <v>230</v>
      </c>
      <c r="E4" s="16" t="s">
        <v>231</v>
      </c>
      <c r="F4" s="16" t="s">
        <v>232</v>
      </c>
      <c r="G4" s="16" t="s">
        <v>233</v>
      </c>
    </row>
    <row r="5" spans="1:7" x14ac:dyDescent="0.35">
      <c r="A5" s="17">
        <v>46204</v>
      </c>
      <c r="B5" s="15" t="s">
        <v>234</v>
      </c>
      <c r="C5" s="15" t="s">
        <v>5</v>
      </c>
      <c r="D5" s="15" t="s">
        <v>19</v>
      </c>
      <c r="E5" s="15"/>
      <c r="F5" s="18">
        <v>8.5</v>
      </c>
      <c r="G5" s="18">
        <v>8.5</v>
      </c>
    </row>
    <row r="6" spans="1:7" x14ac:dyDescent="0.35">
      <c r="A6" s="19">
        <v>46205</v>
      </c>
      <c r="B6" s="15" t="s">
        <v>235</v>
      </c>
      <c r="C6" s="15" t="s">
        <v>5</v>
      </c>
      <c r="D6" s="15" t="s">
        <v>19</v>
      </c>
      <c r="E6" s="15"/>
      <c r="F6" s="18">
        <v>8.5</v>
      </c>
      <c r="G6" s="18">
        <v>8.5</v>
      </c>
    </row>
    <row r="7" spans="1:7" x14ac:dyDescent="0.35">
      <c r="A7" s="17">
        <v>46206</v>
      </c>
      <c r="B7" s="15" t="s">
        <v>236</v>
      </c>
      <c r="C7" s="15" t="s">
        <v>5</v>
      </c>
      <c r="D7" s="15" t="s">
        <v>19</v>
      </c>
      <c r="E7" s="15"/>
      <c r="F7" s="18">
        <v>8</v>
      </c>
      <c r="G7" s="18">
        <v>8</v>
      </c>
    </row>
    <row r="8" spans="1:7" x14ac:dyDescent="0.35">
      <c r="A8" s="19">
        <v>46207</v>
      </c>
      <c r="B8" s="15" t="s">
        <v>237</v>
      </c>
      <c r="C8" s="15" t="s">
        <v>5</v>
      </c>
      <c r="D8" s="15" t="s">
        <v>19</v>
      </c>
      <c r="E8" s="15"/>
      <c r="F8" s="18">
        <v>0</v>
      </c>
      <c r="G8" s="18">
        <v>0</v>
      </c>
    </row>
    <row r="9" spans="1:7" x14ac:dyDescent="0.35">
      <c r="A9" s="17">
        <v>46208</v>
      </c>
      <c r="B9" s="15" t="s">
        <v>238</v>
      </c>
      <c r="C9" s="15" t="s">
        <v>5</v>
      </c>
      <c r="D9" s="15" t="s">
        <v>19</v>
      </c>
      <c r="E9" s="15"/>
      <c r="F9" s="18">
        <v>0</v>
      </c>
      <c r="G9" s="18">
        <v>0</v>
      </c>
    </row>
    <row r="10" spans="1:7" x14ac:dyDescent="0.35">
      <c r="A10" s="19">
        <v>46209</v>
      </c>
      <c r="B10" s="15" t="s">
        <v>239</v>
      </c>
      <c r="C10" s="15" t="s">
        <v>5</v>
      </c>
      <c r="D10" s="15" t="s">
        <v>19</v>
      </c>
      <c r="E10" s="15"/>
      <c r="F10" s="18">
        <v>8.5</v>
      </c>
      <c r="G10" s="18">
        <v>8.5</v>
      </c>
    </row>
    <row r="11" spans="1:7" x14ac:dyDescent="0.35">
      <c r="A11" s="17">
        <v>46210</v>
      </c>
      <c r="B11" s="15" t="s">
        <v>240</v>
      </c>
      <c r="C11" s="15" t="s">
        <v>5</v>
      </c>
      <c r="D11" s="15" t="s">
        <v>19</v>
      </c>
      <c r="E11" s="15"/>
      <c r="F11" s="18">
        <v>8.5</v>
      </c>
      <c r="G11" s="18">
        <v>8.5</v>
      </c>
    </row>
    <row r="12" spans="1:7" x14ac:dyDescent="0.35">
      <c r="A12" s="19">
        <v>46211</v>
      </c>
      <c r="B12" s="15" t="s">
        <v>234</v>
      </c>
      <c r="C12" s="15" t="s">
        <v>5</v>
      </c>
      <c r="D12" s="15" t="s">
        <v>19</v>
      </c>
      <c r="E12" s="15"/>
      <c r="F12" s="18">
        <v>8.5</v>
      </c>
      <c r="G12" s="18">
        <v>8.5</v>
      </c>
    </row>
    <row r="13" spans="1:7" x14ac:dyDescent="0.35">
      <c r="A13" s="17">
        <v>46212</v>
      </c>
      <c r="B13" s="15" t="s">
        <v>235</v>
      </c>
      <c r="C13" s="15" t="s">
        <v>5</v>
      </c>
      <c r="D13" s="15" t="s">
        <v>19</v>
      </c>
      <c r="E13" s="15"/>
      <c r="F13" s="18">
        <v>8.5</v>
      </c>
      <c r="G13" s="18">
        <v>8.5</v>
      </c>
    </row>
    <row r="14" spans="1:7" x14ac:dyDescent="0.35">
      <c r="A14" s="19">
        <v>46213</v>
      </c>
      <c r="B14" s="15" t="s">
        <v>236</v>
      </c>
      <c r="C14" s="15" t="s">
        <v>5</v>
      </c>
      <c r="D14" s="15" t="s">
        <v>19</v>
      </c>
      <c r="E14" s="15"/>
      <c r="F14" s="18">
        <v>8</v>
      </c>
      <c r="G14" s="18">
        <v>8</v>
      </c>
    </row>
    <row r="15" spans="1:7" x14ac:dyDescent="0.35">
      <c r="A15" s="17">
        <v>46214</v>
      </c>
      <c r="B15" s="15" t="s">
        <v>237</v>
      </c>
      <c r="C15" s="15" t="s">
        <v>5</v>
      </c>
      <c r="D15" s="15" t="s">
        <v>19</v>
      </c>
      <c r="E15" s="15"/>
      <c r="F15" s="18">
        <v>0</v>
      </c>
      <c r="G15" s="18">
        <v>0</v>
      </c>
    </row>
    <row r="16" spans="1:7" x14ac:dyDescent="0.35">
      <c r="A16" s="19">
        <v>46215</v>
      </c>
      <c r="B16" s="15" t="s">
        <v>238</v>
      </c>
      <c r="C16" s="15" t="s">
        <v>5</v>
      </c>
      <c r="D16" s="15" t="s">
        <v>19</v>
      </c>
      <c r="E16" s="15"/>
      <c r="F16" s="18">
        <v>0</v>
      </c>
      <c r="G16" s="18">
        <v>0</v>
      </c>
    </row>
    <row r="17" spans="1:7" x14ac:dyDescent="0.35">
      <c r="A17" s="20">
        <v>46216</v>
      </c>
      <c r="B17" s="15" t="s">
        <v>239</v>
      </c>
      <c r="C17" s="15" t="s">
        <v>5</v>
      </c>
      <c r="D17" s="15" t="s">
        <v>58</v>
      </c>
      <c r="E17" s="15" t="s">
        <v>241</v>
      </c>
      <c r="F17" s="18">
        <v>8.5</v>
      </c>
      <c r="G17" s="18">
        <v>0</v>
      </c>
    </row>
    <row r="18" spans="1:7" x14ac:dyDescent="0.35">
      <c r="A18" s="19">
        <v>46217</v>
      </c>
      <c r="B18" s="15" t="s">
        <v>240</v>
      </c>
      <c r="C18" s="15" t="s">
        <v>5</v>
      </c>
      <c r="D18" s="15" t="s">
        <v>19</v>
      </c>
      <c r="E18" s="15"/>
      <c r="F18" s="18">
        <v>8.5</v>
      </c>
      <c r="G18" s="18">
        <v>8.5</v>
      </c>
    </row>
    <row r="19" spans="1:7" x14ac:dyDescent="0.35">
      <c r="A19" s="17">
        <v>46218</v>
      </c>
      <c r="B19" s="15" t="s">
        <v>234</v>
      </c>
      <c r="C19" s="15" t="s">
        <v>5</v>
      </c>
      <c r="D19" s="15" t="s">
        <v>19</v>
      </c>
      <c r="E19" s="15"/>
      <c r="F19" s="18">
        <v>8.5</v>
      </c>
      <c r="G19" s="18">
        <v>8.5</v>
      </c>
    </row>
    <row r="20" spans="1:7" x14ac:dyDescent="0.35">
      <c r="A20" s="19">
        <v>46219</v>
      </c>
      <c r="B20" s="15" t="s">
        <v>235</v>
      </c>
      <c r="C20" s="15" t="s">
        <v>5</v>
      </c>
      <c r="D20" s="15" t="s">
        <v>19</v>
      </c>
      <c r="E20" s="15"/>
      <c r="F20" s="18">
        <v>8.5</v>
      </c>
      <c r="G20" s="18">
        <v>8.5</v>
      </c>
    </row>
    <row r="21" spans="1:7" x14ac:dyDescent="0.35">
      <c r="A21" s="17">
        <v>46220</v>
      </c>
      <c r="B21" s="15" t="s">
        <v>236</v>
      </c>
      <c r="C21" s="15" t="s">
        <v>5</v>
      </c>
      <c r="D21" s="15" t="s">
        <v>19</v>
      </c>
      <c r="E21" s="15"/>
      <c r="F21" s="18">
        <v>8</v>
      </c>
      <c r="G21" s="18">
        <v>8</v>
      </c>
    </row>
    <row r="22" spans="1:7" x14ac:dyDescent="0.35">
      <c r="A22" s="19">
        <v>46221</v>
      </c>
      <c r="B22" s="15" t="s">
        <v>237</v>
      </c>
      <c r="C22" s="15" t="s">
        <v>5</v>
      </c>
      <c r="D22" s="15" t="s">
        <v>19</v>
      </c>
      <c r="E22" s="15"/>
      <c r="F22" s="18">
        <v>0</v>
      </c>
      <c r="G22" s="18">
        <v>0</v>
      </c>
    </row>
    <row r="23" spans="1:7" x14ac:dyDescent="0.35">
      <c r="A23" s="17">
        <v>46222</v>
      </c>
      <c r="B23" s="15" t="s">
        <v>238</v>
      </c>
      <c r="C23" s="15" t="s">
        <v>5</v>
      </c>
      <c r="D23" s="15" t="s">
        <v>19</v>
      </c>
      <c r="E23" s="15"/>
      <c r="F23" s="18">
        <v>0</v>
      </c>
      <c r="G23" s="18">
        <v>0</v>
      </c>
    </row>
    <row r="24" spans="1:7" x14ac:dyDescent="0.35">
      <c r="A24" s="20">
        <v>46223</v>
      </c>
      <c r="B24" s="15" t="s">
        <v>239</v>
      </c>
      <c r="C24" s="15" t="s">
        <v>5</v>
      </c>
      <c r="D24" s="15" t="s">
        <v>58</v>
      </c>
      <c r="E24" s="15" t="s">
        <v>242</v>
      </c>
      <c r="F24" s="18">
        <v>8.5</v>
      </c>
      <c r="G24" s="18">
        <v>0</v>
      </c>
    </row>
    <row r="25" spans="1:7" x14ac:dyDescent="0.35">
      <c r="A25" s="17">
        <v>46224</v>
      </c>
      <c r="B25" s="15" t="s">
        <v>240</v>
      </c>
      <c r="C25" s="15" t="s">
        <v>5</v>
      </c>
      <c r="D25" s="15" t="s">
        <v>19</v>
      </c>
      <c r="E25" s="15"/>
      <c r="F25" s="18">
        <v>8.5</v>
      </c>
      <c r="G25" s="18">
        <v>8.5</v>
      </c>
    </row>
    <row r="26" spans="1:7" x14ac:dyDescent="0.35">
      <c r="A26" s="19">
        <v>46225</v>
      </c>
      <c r="B26" s="15" t="s">
        <v>234</v>
      </c>
      <c r="C26" s="15" t="s">
        <v>5</v>
      </c>
      <c r="D26" s="15" t="s">
        <v>19</v>
      </c>
      <c r="E26" s="15"/>
      <c r="F26" s="18">
        <v>8.5</v>
      </c>
      <c r="G26" s="18">
        <v>8.5</v>
      </c>
    </row>
    <row r="27" spans="1:7" x14ac:dyDescent="0.35">
      <c r="A27" s="17">
        <v>46226</v>
      </c>
      <c r="B27" s="15" t="s">
        <v>235</v>
      </c>
      <c r="C27" s="15" t="s">
        <v>5</v>
      </c>
      <c r="D27" s="15" t="s">
        <v>19</v>
      </c>
      <c r="E27" s="15"/>
      <c r="F27" s="18">
        <v>8.5</v>
      </c>
      <c r="G27" s="18">
        <v>8.5</v>
      </c>
    </row>
    <row r="28" spans="1:7" x14ac:dyDescent="0.35">
      <c r="A28" s="19">
        <v>46227</v>
      </c>
      <c r="B28" s="15" t="s">
        <v>236</v>
      </c>
      <c r="C28" s="15" t="s">
        <v>5</v>
      </c>
      <c r="D28" s="15" t="s">
        <v>19</v>
      </c>
      <c r="E28" s="15"/>
      <c r="F28" s="18">
        <v>8</v>
      </c>
      <c r="G28" s="18">
        <v>8</v>
      </c>
    </row>
    <row r="29" spans="1:7" x14ac:dyDescent="0.35">
      <c r="A29" s="17">
        <v>46228</v>
      </c>
      <c r="B29" s="15" t="s">
        <v>237</v>
      </c>
      <c r="C29" s="15" t="s">
        <v>5</v>
      </c>
      <c r="D29" s="15" t="s">
        <v>19</v>
      </c>
      <c r="E29" s="15"/>
      <c r="F29" s="18">
        <v>0</v>
      </c>
      <c r="G29" s="18">
        <v>0</v>
      </c>
    </row>
    <row r="30" spans="1:7" x14ac:dyDescent="0.35">
      <c r="A30" s="19">
        <v>46229</v>
      </c>
      <c r="B30" s="15" t="s">
        <v>238</v>
      </c>
      <c r="C30" s="15" t="s">
        <v>5</v>
      </c>
      <c r="D30" s="15" t="s">
        <v>19</v>
      </c>
      <c r="E30" s="15"/>
      <c r="F30" s="18">
        <v>0</v>
      </c>
      <c r="G30" s="18">
        <v>0</v>
      </c>
    </row>
    <row r="31" spans="1:7" x14ac:dyDescent="0.35">
      <c r="A31" s="17">
        <v>46230</v>
      </c>
      <c r="B31" s="15" t="s">
        <v>239</v>
      </c>
      <c r="C31" s="15" t="s">
        <v>5</v>
      </c>
      <c r="D31" s="15" t="s">
        <v>19</v>
      </c>
      <c r="E31" s="15"/>
      <c r="F31" s="18">
        <v>8.5</v>
      </c>
      <c r="G31" s="18">
        <v>8.5</v>
      </c>
    </row>
    <row r="32" spans="1:7" x14ac:dyDescent="0.35">
      <c r="A32" s="19">
        <v>46231</v>
      </c>
      <c r="B32" s="15" t="s">
        <v>240</v>
      </c>
      <c r="C32" s="15" t="s">
        <v>5</v>
      </c>
      <c r="D32" s="15" t="s">
        <v>19</v>
      </c>
      <c r="E32" s="15"/>
      <c r="F32" s="18">
        <v>8.5</v>
      </c>
      <c r="G32" s="18">
        <v>8.5</v>
      </c>
    </row>
    <row r="33" spans="1:7" x14ac:dyDescent="0.35">
      <c r="A33" s="17">
        <v>46232</v>
      </c>
      <c r="B33" s="15" t="s">
        <v>234</v>
      </c>
      <c r="C33" s="15" t="s">
        <v>5</v>
      </c>
      <c r="D33" s="15" t="s">
        <v>19</v>
      </c>
      <c r="E33" s="15"/>
      <c r="F33" s="18">
        <v>8.5</v>
      </c>
      <c r="G33" s="18">
        <v>8.5</v>
      </c>
    </row>
    <row r="34" spans="1:7" x14ac:dyDescent="0.35">
      <c r="A34" s="19">
        <v>46233</v>
      </c>
      <c r="B34" s="15" t="s">
        <v>235</v>
      </c>
      <c r="C34" s="15" t="s">
        <v>5</v>
      </c>
      <c r="D34" s="15" t="s">
        <v>19</v>
      </c>
      <c r="E34" s="15"/>
      <c r="F34" s="18">
        <v>8.5</v>
      </c>
      <c r="G34" s="18">
        <v>8.5</v>
      </c>
    </row>
    <row r="35" spans="1:7" x14ac:dyDescent="0.35">
      <c r="A35" s="17">
        <v>46234</v>
      </c>
      <c r="B35" s="15" t="s">
        <v>236</v>
      </c>
      <c r="C35" s="15" t="s">
        <v>5</v>
      </c>
      <c r="D35" s="15" t="s">
        <v>19</v>
      </c>
      <c r="E35" s="15"/>
      <c r="F35" s="18">
        <v>8</v>
      </c>
      <c r="G35" s="18">
        <v>8</v>
      </c>
    </row>
    <row r="36" spans="1:7" x14ac:dyDescent="0.35">
      <c r="A36" s="19">
        <v>46235</v>
      </c>
      <c r="B36" s="15" t="s">
        <v>237</v>
      </c>
      <c r="C36" s="15" t="s">
        <v>6</v>
      </c>
      <c r="D36" s="15" t="s">
        <v>19</v>
      </c>
      <c r="E36" s="15"/>
      <c r="F36" s="18">
        <v>0</v>
      </c>
      <c r="G36" s="18">
        <v>0</v>
      </c>
    </row>
    <row r="37" spans="1:7" x14ac:dyDescent="0.35">
      <c r="A37" s="17">
        <v>46236</v>
      </c>
      <c r="B37" s="15" t="s">
        <v>238</v>
      </c>
      <c r="C37" s="15" t="s">
        <v>6</v>
      </c>
      <c r="D37" s="15" t="s">
        <v>19</v>
      </c>
      <c r="E37" s="15"/>
      <c r="F37" s="18">
        <v>0</v>
      </c>
      <c r="G37" s="18">
        <v>0</v>
      </c>
    </row>
    <row r="38" spans="1:7" x14ac:dyDescent="0.35">
      <c r="A38" s="19">
        <v>46237</v>
      </c>
      <c r="B38" s="15" t="s">
        <v>239</v>
      </c>
      <c r="C38" s="15" t="s">
        <v>6</v>
      </c>
      <c r="D38" s="15" t="s">
        <v>19</v>
      </c>
      <c r="E38" s="15"/>
      <c r="F38" s="18">
        <v>8.5</v>
      </c>
      <c r="G38" s="18">
        <v>8.5</v>
      </c>
    </row>
    <row r="39" spans="1:7" x14ac:dyDescent="0.35">
      <c r="A39" s="17">
        <v>46238</v>
      </c>
      <c r="B39" s="15" t="s">
        <v>240</v>
      </c>
      <c r="C39" s="15" t="s">
        <v>6</v>
      </c>
      <c r="D39" s="15" t="s">
        <v>19</v>
      </c>
      <c r="E39" s="15"/>
      <c r="F39" s="18">
        <v>8.5</v>
      </c>
      <c r="G39" s="18">
        <v>8.5</v>
      </c>
    </row>
    <row r="40" spans="1:7" x14ac:dyDescent="0.35">
      <c r="A40" s="19">
        <v>46239</v>
      </c>
      <c r="B40" s="15" t="s">
        <v>234</v>
      </c>
      <c r="C40" s="15" t="s">
        <v>6</v>
      </c>
      <c r="D40" s="15" t="s">
        <v>19</v>
      </c>
      <c r="E40" s="15"/>
      <c r="F40" s="18">
        <v>8.5</v>
      </c>
      <c r="G40" s="18">
        <v>8.5</v>
      </c>
    </row>
    <row r="41" spans="1:7" x14ac:dyDescent="0.35">
      <c r="A41" s="17">
        <v>46240</v>
      </c>
      <c r="B41" s="15" t="s">
        <v>235</v>
      </c>
      <c r="C41" s="15" t="s">
        <v>6</v>
      </c>
      <c r="D41" s="15" t="s">
        <v>19</v>
      </c>
      <c r="E41" s="15"/>
      <c r="F41" s="18">
        <v>8.5</v>
      </c>
      <c r="G41" s="18">
        <v>8.5</v>
      </c>
    </row>
    <row r="42" spans="1:7" x14ac:dyDescent="0.35">
      <c r="A42" s="20">
        <v>46241</v>
      </c>
      <c r="B42" s="15" t="s">
        <v>236</v>
      </c>
      <c r="C42" s="15" t="s">
        <v>6</v>
      </c>
      <c r="D42" s="15" t="s">
        <v>58</v>
      </c>
      <c r="E42" s="15" t="s">
        <v>243</v>
      </c>
      <c r="F42" s="18">
        <v>8</v>
      </c>
      <c r="G42" s="18">
        <v>0</v>
      </c>
    </row>
    <row r="43" spans="1:7" x14ac:dyDescent="0.35">
      <c r="A43" s="17">
        <v>46242</v>
      </c>
      <c r="B43" s="15" t="s">
        <v>237</v>
      </c>
      <c r="C43" s="15" t="s">
        <v>6</v>
      </c>
      <c r="D43" s="15" t="s">
        <v>19</v>
      </c>
      <c r="E43" s="15"/>
      <c r="F43" s="18">
        <v>0</v>
      </c>
      <c r="G43" s="18">
        <v>0</v>
      </c>
    </row>
    <row r="44" spans="1:7" x14ac:dyDescent="0.35">
      <c r="A44" s="19">
        <v>46243</v>
      </c>
      <c r="B44" s="15" t="s">
        <v>238</v>
      </c>
      <c r="C44" s="15" t="s">
        <v>6</v>
      </c>
      <c r="D44" s="15" t="s">
        <v>19</v>
      </c>
      <c r="E44" s="15"/>
      <c r="F44" s="18">
        <v>0</v>
      </c>
      <c r="G44" s="18">
        <v>0</v>
      </c>
    </row>
    <row r="45" spans="1:7" x14ac:dyDescent="0.35">
      <c r="A45" s="17">
        <v>46244</v>
      </c>
      <c r="B45" s="15" t="s">
        <v>239</v>
      </c>
      <c r="C45" s="15" t="s">
        <v>6</v>
      </c>
      <c r="D45" s="15" t="s">
        <v>19</v>
      </c>
      <c r="E45" s="15"/>
      <c r="F45" s="18">
        <v>8.5</v>
      </c>
      <c r="G45" s="18">
        <v>8.5</v>
      </c>
    </row>
    <row r="46" spans="1:7" x14ac:dyDescent="0.35">
      <c r="A46" s="19">
        <v>46245</v>
      </c>
      <c r="B46" s="15" t="s">
        <v>240</v>
      </c>
      <c r="C46" s="15" t="s">
        <v>6</v>
      </c>
      <c r="D46" s="15" t="s">
        <v>19</v>
      </c>
      <c r="E46" s="15"/>
      <c r="F46" s="18">
        <v>8.5</v>
      </c>
      <c r="G46" s="18">
        <v>8.5</v>
      </c>
    </row>
    <row r="47" spans="1:7" x14ac:dyDescent="0.35">
      <c r="A47" s="17">
        <v>46246</v>
      </c>
      <c r="B47" s="15" t="s">
        <v>234</v>
      </c>
      <c r="C47" s="15" t="s">
        <v>6</v>
      </c>
      <c r="D47" s="15" t="s">
        <v>19</v>
      </c>
      <c r="E47" s="15"/>
      <c r="F47" s="18">
        <v>8.5</v>
      </c>
      <c r="G47" s="18">
        <v>8.5</v>
      </c>
    </row>
    <row r="48" spans="1:7" x14ac:dyDescent="0.35">
      <c r="A48" s="19">
        <v>46247</v>
      </c>
      <c r="B48" s="15" t="s">
        <v>235</v>
      </c>
      <c r="C48" s="15" t="s">
        <v>6</v>
      </c>
      <c r="D48" s="15" t="s">
        <v>19</v>
      </c>
      <c r="E48" s="15"/>
      <c r="F48" s="18">
        <v>8.5</v>
      </c>
      <c r="G48" s="18">
        <v>8.5</v>
      </c>
    </row>
    <row r="49" spans="1:7" x14ac:dyDescent="0.35">
      <c r="A49" s="17">
        <v>46248</v>
      </c>
      <c r="B49" s="15" t="s">
        <v>236</v>
      </c>
      <c r="C49" s="15" t="s">
        <v>6</v>
      </c>
      <c r="D49" s="15" t="s">
        <v>19</v>
      </c>
      <c r="E49" s="15"/>
      <c r="F49" s="18">
        <v>8</v>
      </c>
      <c r="G49" s="18">
        <v>8</v>
      </c>
    </row>
    <row r="50" spans="1:7" x14ac:dyDescent="0.35">
      <c r="A50" s="19">
        <v>46249</v>
      </c>
      <c r="B50" s="15" t="s">
        <v>237</v>
      </c>
      <c r="C50" s="15" t="s">
        <v>6</v>
      </c>
      <c r="D50" s="15" t="s">
        <v>19</v>
      </c>
      <c r="E50" s="15"/>
      <c r="F50" s="18">
        <v>0</v>
      </c>
      <c r="G50" s="18">
        <v>0</v>
      </c>
    </row>
    <row r="51" spans="1:7" x14ac:dyDescent="0.35">
      <c r="A51" s="17">
        <v>46250</v>
      </c>
      <c r="B51" s="15" t="s">
        <v>238</v>
      </c>
      <c r="C51" s="15" t="s">
        <v>6</v>
      </c>
      <c r="D51" s="15" t="s">
        <v>19</v>
      </c>
      <c r="E51" s="15"/>
      <c r="F51" s="18">
        <v>0</v>
      </c>
      <c r="G51" s="18">
        <v>0</v>
      </c>
    </row>
    <row r="52" spans="1:7" x14ac:dyDescent="0.35">
      <c r="A52" s="20">
        <v>46251</v>
      </c>
      <c r="B52" s="15" t="s">
        <v>239</v>
      </c>
      <c r="C52" s="15" t="s">
        <v>6</v>
      </c>
      <c r="D52" s="15" t="s">
        <v>58</v>
      </c>
      <c r="E52" s="15" t="s">
        <v>244</v>
      </c>
      <c r="F52" s="18">
        <v>8.5</v>
      </c>
      <c r="G52" s="18">
        <v>0</v>
      </c>
    </row>
    <row r="53" spans="1:7" x14ac:dyDescent="0.35">
      <c r="A53" s="17">
        <v>46252</v>
      </c>
      <c r="B53" s="15" t="s">
        <v>240</v>
      </c>
      <c r="C53" s="15" t="s">
        <v>6</v>
      </c>
      <c r="D53" s="15" t="s">
        <v>19</v>
      </c>
      <c r="E53" s="15"/>
      <c r="F53" s="18">
        <v>8.5</v>
      </c>
      <c r="G53" s="18">
        <v>8.5</v>
      </c>
    </row>
    <row r="54" spans="1:7" x14ac:dyDescent="0.35">
      <c r="A54" s="19">
        <v>46253</v>
      </c>
      <c r="B54" s="15" t="s">
        <v>234</v>
      </c>
      <c r="C54" s="15" t="s">
        <v>6</v>
      </c>
      <c r="D54" s="15" t="s">
        <v>19</v>
      </c>
      <c r="E54" s="15"/>
      <c r="F54" s="18">
        <v>8.5</v>
      </c>
      <c r="G54" s="18">
        <v>8.5</v>
      </c>
    </row>
    <row r="55" spans="1:7" x14ac:dyDescent="0.35">
      <c r="A55" s="17">
        <v>46254</v>
      </c>
      <c r="B55" s="15" t="s">
        <v>235</v>
      </c>
      <c r="C55" s="15" t="s">
        <v>6</v>
      </c>
      <c r="D55" s="15" t="s">
        <v>19</v>
      </c>
      <c r="E55" s="15"/>
      <c r="F55" s="18">
        <v>8.5</v>
      </c>
      <c r="G55" s="18">
        <v>8.5</v>
      </c>
    </row>
    <row r="56" spans="1:7" x14ac:dyDescent="0.35">
      <c r="A56" s="19">
        <v>46255</v>
      </c>
      <c r="B56" s="15" t="s">
        <v>236</v>
      </c>
      <c r="C56" s="15" t="s">
        <v>6</v>
      </c>
      <c r="D56" s="15" t="s">
        <v>19</v>
      </c>
      <c r="E56" s="15"/>
      <c r="F56" s="18">
        <v>8</v>
      </c>
      <c r="G56" s="18">
        <v>8</v>
      </c>
    </row>
    <row r="57" spans="1:7" x14ac:dyDescent="0.35">
      <c r="A57" s="17">
        <v>46256</v>
      </c>
      <c r="B57" s="15" t="s">
        <v>237</v>
      </c>
      <c r="C57" s="15" t="s">
        <v>6</v>
      </c>
      <c r="D57" s="15" t="s">
        <v>19</v>
      </c>
      <c r="E57" s="15"/>
      <c r="F57" s="18">
        <v>0</v>
      </c>
      <c r="G57" s="18">
        <v>0</v>
      </c>
    </row>
    <row r="58" spans="1:7" x14ac:dyDescent="0.35">
      <c r="A58" s="19">
        <v>46257</v>
      </c>
      <c r="B58" s="15" t="s">
        <v>238</v>
      </c>
      <c r="C58" s="15" t="s">
        <v>6</v>
      </c>
      <c r="D58" s="15" t="s">
        <v>19</v>
      </c>
      <c r="E58" s="15"/>
      <c r="F58" s="18">
        <v>0</v>
      </c>
      <c r="G58" s="18">
        <v>0</v>
      </c>
    </row>
    <row r="59" spans="1:7" x14ac:dyDescent="0.35">
      <c r="A59" s="17">
        <v>46258</v>
      </c>
      <c r="B59" s="15" t="s">
        <v>239</v>
      </c>
      <c r="C59" s="15" t="s">
        <v>6</v>
      </c>
      <c r="D59" s="15" t="s">
        <v>19</v>
      </c>
      <c r="E59" s="15"/>
      <c r="F59" s="18">
        <v>8.5</v>
      </c>
      <c r="G59" s="18">
        <v>8.5</v>
      </c>
    </row>
    <row r="60" spans="1:7" x14ac:dyDescent="0.35">
      <c r="A60" s="19">
        <v>46259</v>
      </c>
      <c r="B60" s="15" t="s">
        <v>240</v>
      </c>
      <c r="C60" s="15" t="s">
        <v>6</v>
      </c>
      <c r="D60" s="15" t="s">
        <v>19</v>
      </c>
      <c r="E60" s="15"/>
      <c r="F60" s="18">
        <v>8.5</v>
      </c>
      <c r="G60" s="18">
        <v>8.5</v>
      </c>
    </row>
    <row r="61" spans="1:7" x14ac:dyDescent="0.35">
      <c r="A61" s="17">
        <v>46260</v>
      </c>
      <c r="B61" s="15" t="s">
        <v>234</v>
      </c>
      <c r="C61" s="15" t="s">
        <v>6</v>
      </c>
      <c r="D61" s="15" t="s">
        <v>19</v>
      </c>
      <c r="E61" s="15"/>
      <c r="F61" s="18">
        <v>8.5</v>
      </c>
      <c r="G61" s="18">
        <v>8.5</v>
      </c>
    </row>
    <row r="62" spans="1:7" x14ac:dyDescent="0.35">
      <c r="A62" s="19">
        <v>46261</v>
      </c>
      <c r="B62" s="15" t="s">
        <v>235</v>
      </c>
      <c r="C62" s="15" t="s">
        <v>6</v>
      </c>
      <c r="D62" s="15" t="s">
        <v>19</v>
      </c>
      <c r="E62" s="15"/>
      <c r="F62" s="18">
        <v>8.5</v>
      </c>
      <c r="G62" s="18">
        <v>8.5</v>
      </c>
    </row>
    <row r="63" spans="1:7" x14ac:dyDescent="0.35">
      <c r="A63" s="17">
        <v>46262</v>
      </c>
      <c r="B63" s="15" t="s">
        <v>236</v>
      </c>
      <c r="C63" s="15" t="s">
        <v>6</v>
      </c>
      <c r="D63" s="15" t="s">
        <v>19</v>
      </c>
      <c r="E63" s="15"/>
      <c r="F63" s="18">
        <v>8</v>
      </c>
      <c r="G63" s="18">
        <v>8</v>
      </c>
    </row>
    <row r="64" spans="1:7" x14ac:dyDescent="0.35">
      <c r="A64" s="19">
        <v>46263</v>
      </c>
      <c r="B64" s="15" t="s">
        <v>237</v>
      </c>
      <c r="C64" s="15" t="s">
        <v>6</v>
      </c>
      <c r="D64" s="15" t="s">
        <v>19</v>
      </c>
      <c r="E64" s="15"/>
      <c r="F64" s="18">
        <v>0</v>
      </c>
      <c r="G64" s="18">
        <v>0</v>
      </c>
    </row>
    <row r="65" spans="1:7" x14ac:dyDescent="0.35">
      <c r="A65" s="17">
        <v>46264</v>
      </c>
      <c r="B65" s="15" t="s">
        <v>238</v>
      </c>
      <c r="C65" s="15" t="s">
        <v>6</v>
      </c>
      <c r="D65" s="15" t="s">
        <v>19</v>
      </c>
      <c r="E65" s="15"/>
      <c r="F65" s="18">
        <v>0</v>
      </c>
      <c r="G65" s="18">
        <v>0</v>
      </c>
    </row>
    <row r="66" spans="1:7" x14ac:dyDescent="0.35">
      <c r="A66" s="19">
        <v>46265</v>
      </c>
      <c r="B66" s="15" t="s">
        <v>239</v>
      </c>
      <c r="C66" s="15" t="s">
        <v>6</v>
      </c>
      <c r="D66" s="15" t="s">
        <v>19</v>
      </c>
      <c r="E66" s="15"/>
      <c r="F66" s="18">
        <v>8.5</v>
      </c>
      <c r="G66" s="18">
        <v>8.5</v>
      </c>
    </row>
    <row r="67" spans="1:7" x14ac:dyDescent="0.35">
      <c r="A67" s="17">
        <v>46266</v>
      </c>
      <c r="B67" s="15" t="s">
        <v>240</v>
      </c>
      <c r="C67" s="15" t="s">
        <v>7</v>
      </c>
      <c r="D67" s="15" t="s">
        <v>19</v>
      </c>
      <c r="E67" s="15"/>
      <c r="F67" s="18">
        <v>8.5</v>
      </c>
      <c r="G67" s="18">
        <v>8.5</v>
      </c>
    </row>
    <row r="68" spans="1:7" x14ac:dyDescent="0.35">
      <c r="A68" s="19">
        <v>46267</v>
      </c>
      <c r="B68" s="15" t="s">
        <v>234</v>
      </c>
      <c r="C68" s="15" t="s">
        <v>7</v>
      </c>
      <c r="D68" s="15" t="s">
        <v>19</v>
      </c>
      <c r="E68" s="15"/>
      <c r="F68" s="18">
        <v>8.5</v>
      </c>
      <c r="G68" s="18">
        <v>8.5</v>
      </c>
    </row>
    <row r="69" spans="1:7" x14ac:dyDescent="0.35">
      <c r="A69" s="17">
        <v>46268</v>
      </c>
      <c r="B69" s="15" t="s">
        <v>235</v>
      </c>
      <c r="C69" s="15" t="s">
        <v>7</v>
      </c>
      <c r="D69" s="15" t="s">
        <v>19</v>
      </c>
      <c r="E69" s="15"/>
      <c r="F69" s="18">
        <v>8.5</v>
      </c>
      <c r="G69" s="18">
        <v>8.5</v>
      </c>
    </row>
    <row r="70" spans="1:7" x14ac:dyDescent="0.35">
      <c r="A70" s="19">
        <v>46269</v>
      </c>
      <c r="B70" s="15" t="s">
        <v>236</v>
      </c>
      <c r="C70" s="15" t="s">
        <v>7</v>
      </c>
      <c r="D70" s="15" t="s">
        <v>19</v>
      </c>
      <c r="E70" s="15"/>
      <c r="F70" s="18">
        <v>8</v>
      </c>
      <c r="G70" s="18">
        <v>8</v>
      </c>
    </row>
    <row r="71" spans="1:7" x14ac:dyDescent="0.35">
      <c r="A71" s="15"/>
      <c r="B71" s="15"/>
      <c r="C71" s="15"/>
      <c r="D71" s="15"/>
      <c r="E71" s="15"/>
      <c r="F71" s="15"/>
      <c r="G71" s="15"/>
    </row>
    <row r="72" spans="1:7" x14ac:dyDescent="0.35">
      <c r="A72" s="15"/>
      <c r="B72" s="15"/>
      <c r="C72" s="15"/>
      <c r="D72" s="15"/>
      <c r="E72" s="15"/>
      <c r="F72" s="15"/>
      <c r="G72" s="15"/>
    </row>
    <row r="73" spans="1:7" x14ac:dyDescent="0.35">
      <c r="A73" s="21" t="s">
        <v>221</v>
      </c>
      <c r="B73" s="15"/>
      <c r="C73" s="15"/>
      <c r="D73" s="15"/>
      <c r="E73" s="15"/>
      <c r="F73" s="15"/>
      <c r="G73" s="15"/>
    </row>
    <row r="74" spans="1:7" x14ac:dyDescent="0.35">
      <c r="A74" s="15"/>
      <c r="B74" s="15"/>
      <c r="C74" s="15"/>
      <c r="D74" s="15"/>
      <c r="E74" s="15"/>
      <c r="F74" s="15"/>
      <c r="G74" s="15"/>
    </row>
    <row r="75" spans="1:7" x14ac:dyDescent="0.35">
      <c r="A75" s="16" t="s">
        <v>1</v>
      </c>
      <c r="B75" s="15"/>
      <c r="C75" s="15"/>
      <c r="D75" s="15"/>
      <c r="E75" s="15"/>
      <c r="F75" s="15"/>
      <c r="G75" s="15"/>
    </row>
    <row r="76" spans="1:7" x14ac:dyDescent="0.35">
      <c r="A76" s="15" t="s">
        <v>5</v>
      </c>
      <c r="B76" s="18">
        <f>SUMIF($C$5:$C$70,A76,$G$5:$G$70)</f>
        <v>176</v>
      </c>
      <c r="C76" s="15"/>
      <c r="D76" s="15"/>
      <c r="E76" s="15"/>
      <c r="F76" s="15"/>
      <c r="G76" s="15"/>
    </row>
    <row r="77" spans="1:7" x14ac:dyDescent="0.35">
      <c r="A77" s="15" t="s">
        <v>6</v>
      </c>
      <c r="B77" s="18">
        <f>SUMIF($C$5:$C$70,A77,$G$5:$G$70)</f>
        <v>160</v>
      </c>
      <c r="C77" s="15"/>
      <c r="D77" s="15"/>
      <c r="E77" s="15"/>
      <c r="F77" s="15"/>
      <c r="G77" s="15"/>
    </row>
    <row r="78" spans="1:7" x14ac:dyDescent="0.35">
      <c r="A78" s="15" t="s">
        <v>7</v>
      </c>
      <c r="B78" s="18">
        <f>SUMIF($C$5:$C$70,A78,$G$5:$G$70)</f>
        <v>33.5</v>
      </c>
      <c r="C78" s="15"/>
      <c r="D78" s="15"/>
      <c r="E78" s="15"/>
      <c r="F78" s="15"/>
      <c r="G78" s="15"/>
    </row>
    <row r="79" spans="1:7" x14ac:dyDescent="0.35">
      <c r="A79" s="15"/>
      <c r="B79" s="15"/>
      <c r="C79" s="15"/>
      <c r="D79" s="15"/>
      <c r="E79" s="15"/>
      <c r="F79" s="15"/>
      <c r="G79" s="15"/>
    </row>
    <row r="80" spans="1:7" x14ac:dyDescent="0.35">
      <c r="A80" s="15"/>
      <c r="B80" s="15"/>
      <c r="C80" s="15"/>
      <c r="D80" s="15"/>
      <c r="E80" s="15"/>
      <c r="F80" s="15"/>
      <c r="G80" s="15"/>
    </row>
    <row r="81" spans="1:7" x14ac:dyDescent="0.35">
      <c r="A81" s="21" t="s">
        <v>245</v>
      </c>
      <c r="B81" s="15"/>
      <c r="C81" s="15"/>
      <c r="D81" s="15"/>
      <c r="E81" s="15"/>
      <c r="F81" s="15"/>
      <c r="G81" s="15"/>
    </row>
    <row r="82" spans="1:7" x14ac:dyDescent="0.35">
      <c r="A82" s="15" t="s">
        <v>246</v>
      </c>
      <c r="B82" s="15"/>
      <c r="C82" s="22" t="s">
        <v>247</v>
      </c>
      <c r="D82" s="15"/>
      <c r="E82" s="15"/>
      <c r="F82" s="15"/>
      <c r="G82" s="15"/>
    </row>
    <row r="83" spans="1:7" x14ac:dyDescent="0.35">
      <c r="A83" s="15" t="s">
        <v>248</v>
      </c>
      <c r="B83" s="15"/>
      <c r="C83" s="22" t="s">
        <v>249</v>
      </c>
      <c r="D83" s="15"/>
      <c r="E83" s="15"/>
      <c r="F83" s="15"/>
      <c r="G83" s="15"/>
    </row>
    <row r="84" spans="1:7" x14ac:dyDescent="0.35">
      <c r="A84" s="15" t="s">
        <v>250</v>
      </c>
      <c r="B84" s="15"/>
      <c r="C84" s="22" t="s">
        <v>251</v>
      </c>
      <c r="D84" s="15"/>
      <c r="E84" s="15"/>
      <c r="F84" s="15"/>
      <c r="G84" s="15"/>
    </row>
  </sheetData>
  <autoFilter ref="A4:G70" xr:uid="{73E31992-E19F-4548-8DFF-1AA0478AEBDC}"/>
  <mergeCells count="2">
    <mergeCell ref="A1:G1"/>
    <mergeCell ref="A2:G2"/>
  </mergeCells>
  <pageMargins left="0.7" right="0.7" top="0.75" bottom="0.75" header="0.3" footer="0.3"/>
  <pageSetup scale="85" fitToHeight="0" orientation="landscape" horizontalDpi="360" verticalDpi="360" r:id="rId1"/>
  <rowBreaks count="1" manualBreakCount="1">
    <brk id="72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0549-4BD4-4D63-83B8-149CFD7BC9B7}">
  <sheetPr>
    <pageSetUpPr fitToPage="1"/>
  </sheetPr>
  <dimension ref="A1:F320"/>
  <sheetViews>
    <sheetView workbookViewId="0">
      <selection sqref="A1:F1"/>
    </sheetView>
  </sheetViews>
  <sheetFormatPr baseColWidth="10" defaultRowHeight="14.5" x14ac:dyDescent="0.35"/>
  <cols>
    <col min="1" max="1" width="13.6328125" customWidth="1"/>
    <col min="2" max="2" width="38.6328125" customWidth="1"/>
    <col min="3" max="3" width="65.6328125" customWidth="1"/>
    <col min="4" max="4" width="12.6328125" customWidth="1"/>
    <col min="5" max="5" width="14.6328125" customWidth="1"/>
    <col min="6" max="6" width="19.6328125" customWidth="1"/>
  </cols>
  <sheetData>
    <row r="1" spans="1:6" ht="23.5" x14ac:dyDescent="0.55000000000000004">
      <c r="A1" s="41" t="s">
        <v>254</v>
      </c>
      <c r="B1" s="41"/>
      <c r="C1" s="41"/>
      <c r="D1" s="41"/>
      <c r="E1" s="41"/>
      <c r="F1" s="41"/>
    </row>
    <row r="2" spans="1:6" x14ac:dyDescent="0.35">
      <c r="A2" s="42" t="s">
        <v>255</v>
      </c>
      <c r="B2" s="42"/>
      <c r="C2" s="42"/>
      <c r="D2" s="42"/>
      <c r="E2" s="42"/>
      <c r="F2" s="42"/>
    </row>
    <row r="3" spans="1:6" x14ac:dyDescent="0.35">
      <c r="A3" s="15"/>
      <c r="B3" s="15"/>
      <c r="C3" s="15"/>
      <c r="D3" s="15"/>
      <c r="E3" s="15"/>
      <c r="F3" s="15"/>
    </row>
    <row r="4" spans="1:6" x14ac:dyDescent="0.35">
      <c r="A4" s="16" t="s">
        <v>228</v>
      </c>
      <c r="B4" s="16" t="s">
        <v>256</v>
      </c>
      <c r="C4" s="16" t="s">
        <v>257</v>
      </c>
      <c r="D4" s="16" t="s">
        <v>258</v>
      </c>
      <c r="E4" s="16" t="s">
        <v>1</v>
      </c>
      <c r="F4" s="16" t="s">
        <v>259</v>
      </c>
    </row>
    <row r="5" spans="1:6" x14ac:dyDescent="0.35">
      <c r="A5" s="23">
        <v>46276</v>
      </c>
      <c r="B5" s="15" t="s">
        <v>77</v>
      </c>
      <c r="C5" s="15" t="s">
        <v>260</v>
      </c>
      <c r="D5" s="18">
        <v>0.5</v>
      </c>
      <c r="E5" s="15" t="s">
        <v>7</v>
      </c>
      <c r="F5" s="15" t="s">
        <v>19</v>
      </c>
    </row>
    <row r="6" spans="1:6" x14ac:dyDescent="0.35">
      <c r="A6" s="23">
        <v>46275</v>
      </c>
      <c r="B6" s="15" t="s">
        <v>77</v>
      </c>
      <c r="C6" s="15" t="s">
        <v>260</v>
      </c>
      <c r="D6" s="18">
        <v>0.5</v>
      </c>
      <c r="E6" s="15" t="s">
        <v>7</v>
      </c>
      <c r="F6" s="15" t="s">
        <v>19</v>
      </c>
    </row>
    <row r="7" spans="1:6" x14ac:dyDescent="0.35">
      <c r="A7" s="23">
        <v>46274</v>
      </c>
      <c r="B7" s="15" t="s">
        <v>77</v>
      </c>
      <c r="C7" s="15" t="s">
        <v>260</v>
      </c>
      <c r="D7" s="18">
        <v>0.5</v>
      </c>
      <c r="E7" s="15" t="s">
        <v>7</v>
      </c>
      <c r="F7" s="15" t="s">
        <v>19</v>
      </c>
    </row>
    <row r="8" spans="1:6" x14ac:dyDescent="0.35">
      <c r="A8" s="23">
        <v>46273</v>
      </c>
      <c r="B8" s="15" t="s">
        <v>77</v>
      </c>
      <c r="C8" s="15" t="s">
        <v>260</v>
      </c>
      <c r="D8" s="18">
        <v>0.5</v>
      </c>
      <c r="E8" s="15" t="s">
        <v>7</v>
      </c>
      <c r="F8" s="15" t="s">
        <v>19</v>
      </c>
    </row>
    <row r="9" spans="1:6" x14ac:dyDescent="0.35">
      <c r="A9" s="23">
        <v>46272</v>
      </c>
      <c r="B9" s="15" t="s">
        <v>77</v>
      </c>
      <c r="C9" s="15" t="s">
        <v>260</v>
      </c>
      <c r="D9" s="18">
        <v>0.5</v>
      </c>
      <c r="E9" s="15" t="s">
        <v>7</v>
      </c>
      <c r="F9" s="15" t="s">
        <v>19</v>
      </c>
    </row>
    <row r="10" spans="1:6" x14ac:dyDescent="0.35">
      <c r="A10" s="19">
        <v>46269</v>
      </c>
      <c r="B10" s="15" t="s">
        <v>87</v>
      </c>
      <c r="C10" s="15" t="s">
        <v>260</v>
      </c>
      <c r="D10" s="18">
        <v>0.8</v>
      </c>
      <c r="E10" s="15" t="s">
        <v>7</v>
      </c>
      <c r="F10" s="15" t="s">
        <v>58</v>
      </c>
    </row>
    <row r="11" spans="1:6" x14ac:dyDescent="0.35">
      <c r="A11" s="17">
        <v>46269</v>
      </c>
      <c r="B11" s="15" t="s">
        <v>189</v>
      </c>
      <c r="C11" s="15" t="s">
        <v>260</v>
      </c>
      <c r="D11" s="18">
        <v>8</v>
      </c>
      <c r="E11" s="15" t="s">
        <v>7</v>
      </c>
      <c r="F11" s="15" t="s">
        <v>58</v>
      </c>
    </row>
    <row r="12" spans="1:6" x14ac:dyDescent="0.35">
      <c r="A12" s="19">
        <v>46269</v>
      </c>
      <c r="B12" s="15" t="s">
        <v>77</v>
      </c>
      <c r="C12" s="15" t="s">
        <v>260</v>
      </c>
      <c r="D12" s="18">
        <v>0.5</v>
      </c>
      <c r="E12" s="15" t="s">
        <v>7</v>
      </c>
      <c r="F12" s="15" t="s">
        <v>58</v>
      </c>
    </row>
    <row r="13" spans="1:6" x14ac:dyDescent="0.35">
      <c r="A13" s="17">
        <v>46269</v>
      </c>
      <c r="B13" s="15" t="s">
        <v>190</v>
      </c>
      <c r="C13" s="15" t="s">
        <v>260</v>
      </c>
      <c r="D13" s="18">
        <v>8</v>
      </c>
      <c r="E13" s="15" t="s">
        <v>7</v>
      </c>
      <c r="F13" s="15" t="s">
        <v>58</v>
      </c>
    </row>
    <row r="14" spans="1:6" x14ac:dyDescent="0.35">
      <c r="A14" s="19">
        <v>46268</v>
      </c>
      <c r="B14" s="15" t="s">
        <v>87</v>
      </c>
      <c r="C14" s="15" t="s">
        <v>260</v>
      </c>
      <c r="D14" s="18">
        <v>0.85</v>
      </c>
      <c r="E14" s="15" t="s">
        <v>7</v>
      </c>
      <c r="F14" s="15" t="s">
        <v>58</v>
      </c>
    </row>
    <row r="15" spans="1:6" x14ac:dyDescent="0.35">
      <c r="A15" s="17">
        <v>46268</v>
      </c>
      <c r="B15" s="15" t="s">
        <v>189</v>
      </c>
      <c r="C15" s="15" t="s">
        <v>260</v>
      </c>
      <c r="D15" s="18">
        <v>8.5</v>
      </c>
      <c r="E15" s="15" t="s">
        <v>7</v>
      </c>
      <c r="F15" s="15" t="s">
        <v>58</v>
      </c>
    </row>
    <row r="16" spans="1:6" x14ac:dyDescent="0.35">
      <c r="A16" s="19">
        <v>46268</v>
      </c>
      <c r="B16" s="15" t="s">
        <v>77</v>
      </c>
      <c r="C16" s="15" t="s">
        <v>260</v>
      </c>
      <c r="D16" s="18">
        <v>0.5</v>
      </c>
      <c r="E16" s="15" t="s">
        <v>7</v>
      </c>
      <c r="F16" s="15" t="s">
        <v>58</v>
      </c>
    </row>
    <row r="17" spans="1:6" x14ac:dyDescent="0.35">
      <c r="A17" s="17">
        <v>46268</v>
      </c>
      <c r="B17" s="15" t="s">
        <v>190</v>
      </c>
      <c r="C17" s="15" t="s">
        <v>260</v>
      </c>
      <c r="D17" s="18">
        <v>8.5</v>
      </c>
      <c r="E17" s="15" t="s">
        <v>7</v>
      </c>
      <c r="F17" s="15" t="s">
        <v>58</v>
      </c>
    </row>
    <row r="18" spans="1:6" x14ac:dyDescent="0.35">
      <c r="A18" s="19">
        <v>46267</v>
      </c>
      <c r="B18" s="15" t="s">
        <v>87</v>
      </c>
      <c r="C18" s="15" t="s">
        <v>260</v>
      </c>
      <c r="D18" s="18">
        <v>0.85</v>
      </c>
      <c r="E18" s="15" t="s">
        <v>7</v>
      </c>
      <c r="F18" s="15" t="s">
        <v>58</v>
      </c>
    </row>
    <row r="19" spans="1:6" x14ac:dyDescent="0.35">
      <c r="A19" s="17">
        <v>46267</v>
      </c>
      <c r="B19" s="15" t="s">
        <v>189</v>
      </c>
      <c r="C19" s="15" t="s">
        <v>260</v>
      </c>
      <c r="D19" s="18">
        <v>4.5</v>
      </c>
      <c r="E19" s="15" t="s">
        <v>7</v>
      </c>
      <c r="F19" s="15" t="s">
        <v>58</v>
      </c>
    </row>
    <row r="20" spans="1:6" x14ac:dyDescent="0.35">
      <c r="A20" s="19">
        <v>46267</v>
      </c>
      <c r="B20" s="15" t="s">
        <v>77</v>
      </c>
      <c r="C20" s="15" t="s">
        <v>260</v>
      </c>
      <c r="D20" s="18">
        <v>0.5</v>
      </c>
      <c r="E20" s="15" t="s">
        <v>7</v>
      </c>
      <c r="F20" s="15" t="s">
        <v>58</v>
      </c>
    </row>
    <row r="21" spans="1:6" x14ac:dyDescent="0.35">
      <c r="A21" s="17">
        <v>46267</v>
      </c>
      <c r="B21" s="15" t="s">
        <v>190</v>
      </c>
      <c r="C21" s="15" t="s">
        <v>260</v>
      </c>
      <c r="D21" s="18">
        <v>4.5</v>
      </c>
      <c r="E21" s="15" t="s">
        <v>7</v>
      </c>
      <c r="F21" s="15" t="s">
        <v>58</v>
      </c>
    </row>
    <row r="22" spans="1:6" x14ac:dyDescent="0.35">
      <c r="A22" s="19">
        <v>46267</v>
      </c>
      <c r="B22" s="15" t="s">
        <v>261</v>
      </c>
      <c r="C22" s="15" t="s">
        <v>260</v>
      </c>
      <c r="D22" s="18">
        <v>2</v>
      </c>
      <c r="E22" s="15" t="s">
        <v>7</v>
      </c>
      <c r="F22" s="15" t="s">
        <v>58</v>
      </c>
    </row>
    <row r="23" spans="1:6" x14ac:dyDescent="0.35">
      <c r="A23" s="17">
        <v>46266</v>
      </c>
      <c r="B23" s="15" t="s">
        <v>87</v>
      </c>
      <c r="C23" s="15" t="s">
        <v>260</v>
      </c>
      <c r="D23" s="18">
        <v>0.95</v>
      </c>
      <c r="E23" s="15" t="s">
        <v>7</v>
      </c>
      <c r="F23" s="15" t="s">
        <v>58</v>
      </c>
    </row>
    <row r="24" spans="1:6" x14ac:dyDescent="0.35">
      <c r="A24" s="19">
        <v>46266</v>
      </c>
      <c r="B24" s="15" t="s">
        <v>77</v>
      </c>
      <c r="C24" s="15" t="s">
        <v>260</v>
      </c>
      <c r="D24" s="18">
        <v>0.5</v>
      </c>
      <c r="E24" s="15" t="s">
        <v>7</v>
      </c>
      <c r="F24" s="15" t="s">
        <v>58</v>
      </c>
    </row>
    <row r="25" spans="1:6" x14ac:dyDescent="0.35">
      <c r="A25" s="17">
        <v>46265</v>
      </c>
      <c r="B25" s="15" t="s">
        <v>77</v>
      </c>
      <c r="C25" s="15" t="s">
        <v>260</v>
      </c>
      <c r="D25" s="18">
        <v>0.5</v>
      </c>
      <c r="E25" s="15" t="s">
        <v>6</v>
      </c>
      <c r="F25" s="15" t="s">
        <v>58</v>
      </c>
    </row>
    <row r="26" spans="1:6" x14ac:dyDescent="0.35">
      <c r="A26" s="19">
        <v>46265</v>
      </c>
      <c r="B26" s="15" t="s">
        <v>91</v>
      </c>
      <c r="C26" s="15" t="s">
        <v>260</v>
      </c>
      <c r="D26" s="18">
        <v>8</v>
      </c>
      <c r="E26" s="15" t="s">
        <v>6</v>
      </c>
      <c r="F26" s="15" t="s">
        <v>58</v>
      </c>
    </row>
    <row r="27" spans="1:6" x14ac:dyDescent="0.35">
      <c r="A27" s="17">
        <v>46265</v>
      </c>
      <c r="B27" s="15" t="s">
        <v>112</v>
      </c>
      <c r="C27" s="15" t="s">
        <v>260</v>
      </c>
      <c r="D27" s="18">
        <v>5</v>
      </c>
      <c r="E27" s="15" t="s">
        <v>6</v>
      </c>
      <c r="F27" s="15" t="s">
        <v>58</v>
      </c>
    </row>
    <row r="28" spans="1:6" x14ac:dyDescent="0.35">
      <c r="A28" s="19">
        <v>46265</v>
      </c>
      <c r="B28" s="15" t="s">
        <v>262</v>
      </c>
      <c r="C28" s="15" t="s">
        <v>260</v>
      </c>
      <c r="D28" s="18">
        <v>3.5</v>
      </c>
      <c r="E28" s="15" t="s">
        <v>6</v>
      </c>
      <c r="F28" s="15" t="s">
        <v>58</v>
      </c>
    </row>
    <row r="29" spans="1:6" x14ac:dyDescent="0.35">
      <c r="A29" s="17">
        <v>46265</v>
      </c>
      <c r="B29" s="15" t="s">
        <v>263</v>
      </c>
      <c r="C29" s="15" t="s">
        <v>260</v>
      </c>
      <c r="D29" s="18">
        <v>1</v>
      </c>
      <c r="E29" s="15" t="s">
        <v>6</v>
      </c>
      <c r="F29" s="15" t="s">
        <v>58</v>
      </c>
    </row>
    <row r="30" spans="1:6" x14ac:dyDescent="0.35">
      <c r="A30" s="19">
        <v>46265</v>
      </c>
      <c r="B30" s="15" t="s">
        <v>87</v>
      </c>
      <c r="C30" s="15" t="s">
        <v>260</v>
      </c>
      <c r="D30" s="18">
        <v>0.85</v>
      </c>
      <c r="E30" s="15" t="s">
        <v>6</v>
      </c>
      <c r="F30" s="15" t="s">
        <v>58</v>
      </c>
    </row>
    <row r="31" spans="1:6" x14ac:dyDescent="0.35">
      <c r="A31" s="17">
        <v>46262</v>
      </c>
      <c r="B31" s="15" t="s">
        <v>77</v>
      </c>
      <c r="C31" s="15" t="s">
        <v>260</v>
      </c>
      <c r="D31" s="18">
        <v>0.5</v>
      </c>
      <c r="E31" s="15" t="s">
        <v>6</v>
      </c>
      <c r="F31" s="15" t="s">
        <v>58</v>
      </c>
    </row>
    <row r="32" spans="1:6" x14ac:dyDescent="0.35">
      <c r="A32" s="19">
        <v>46262</v>
      </c>
      <c r="B32" s="15" t="s">
        <v>87</v>
      </c>
      <c r="C32" s="15" t="s">
        <v>260</v>
      </c>
      <c r="D32" s="18">
        <v>0.85</v>
      </c>
      <c r="E32" s="15" t="s">
        <v>6</v>
      </c>
      <c r="F32" s="15" t="s">
        <v>58</v>
      </c>
    </row>
    <row r="33" spans="1:6" x14ac:dyDescent="0.35">
      <c r="A33" s="17">
        <v>46262</v>
      </c>
      <c r="B33" s="15" t="s">
        <v>112</v>
      </c>
      <c r="C33" s="15" t="s">
        <v>260</v>
      </c>
      <c r="D33" s="18">
        <v>4</v>
      </c>
      <c r="E33" s="15" t="s">
        <v>6</v>
      </c>
      <c r="F33" s="15" t="s">
        <v>58</v>
      </c>
    </row>
    <row r="34" spans="1:6" x14ac:dyDescent="0.35">
      <c r="A34" s="19">
        <v>46262</v>
      </c>
      <c r="B34" s="15" t="s">
        <v>262</v>
      </c>
      <c r="C34" s="15" t="s">
        <v>260</v>
      </c>
      <c r="D34" s="18">
        <v>4</v>
      </c>
      <c r="E34" s="15" t="s">
        <v>6</v>
      </c>
      <c r="F34" s="15" t="s">
        <v>58</v>
      </c>
    </row>
    <row r="35" spans="1:6" x14ac:dyDescent="0.35">
      <c r="A35" s="17">
        <v>46262</v>
      </c>
      <c r="B35" s="15" t="s">
        <v>190</v>
      </c>
      <c r="C35" s="15" t="s">
        <v>260</v>
      </c>
      <c r="D35" s="18">
        <v>8.5</v>
      </c>
      <c r="E35" s="15" t="s">
        <v>6</v>
      </c>
      <c r="F35" s="15" t="s">
        <v>58</v>
      </c>
    </row>
    <row r="36" spans="1:6" x14ac:dyDescent="0.35">
      <c r="A36" s="19">
        <v>46262</v>
      </c>
      <c r="B36" s="15" t="s">
        <v>180</v>
      </c>
      <c r="C36" s="15" t="s">
        <v>260</v>
      </c>
      <c r="D36" s="18">
        <v>1.7</v>
      </c>
      <c r="E36" s="15" t="s">
        <v>6</v>
      </c>
      <c r="F36" s="15" t="s">
        <v>58</v>
      </c>
    </row>
    <row r="37" spans="1:6" x14ac:dyDescent="0.35">
      <c r="A37" s="17">
        <v>46262</v>
      </c>
      <c r="B37" s="15" t="s">
        <v>95</v>
      </c>
      <c r="C37" s="15" t="s">
        <v>260</v>
      </c>
      <c r="D37" s="18">
        <v>2</v>
      </c>
      <c r="E37" s="15" t="s">
        <v>6</v>
      </c>
      <c r="F37" s="15" t="s">
        <v>58</v>
      </c>
    </row>
    <row r="38" spans="1:6" x14ac:dyDescent="0.35">
      <c r="A38" s="19">
        <v>46261</v>
      </c>
      <c r="B38" s="15" t="s">
        <v>77</v>
      </c>
      <c r="C38" s="15" t="s">
        <v>260</v>
      </c>
      <c r="D38" s="18">
        <v>0.5</v>
      </c>
      <c r="E38" s="15" t="s">
        <v>6</v>
      </c>
      <c r="F38" s="15" t="s">
        <v>58</v>
      </c>
    </row>
    <row r="39" spans="1:6" x14ac:dyDescent="0.35">
      <c r="A39" s="17">
        <v>46261</v>
      </c>
      <c r="B39" s="15" t="s">
        <v>87</v>
      </c>
      <c r="C39" s="15" t="s">
        <v>260</v>
      </c>
      <c r="D39" s="18">
        <v>0.85</v>
      </c>
      <c r="E39" s="15" t="s">
        <v>6</v>
      </c>
      <c r="F39" s="15" t="s">
        <v>58</v>
      </c>
    </row>
    <row r="40" spans="1:6" x14ac:dyDescent="0.35">
      <c r="A40" s="19">
        <v>46261</v>
      </c>
      <c r="B40" s="15" t="s">
        <v>112</v>
      </c>
      <c r="C40" s="15" t="s">
        <v>260</v>
      </c>
      <c r="D40" s="18">
        <v>2</v>
      </c>
      <c r="E40" s="15" t="s">
        <v>6</v>
      </c>
      <c r="F40" s="15" t="s">
        <v>58</v>
      </c>
    </row>
    <row r="41" spans="1:6" x14ac:dyDescent="0.35">
      <c r="A41" s="17">
        <v>46261</v>
      </c>
      <c r="B41" s="15" t="s">
        <v>264</v>
      </c>
      <c r="C41" s="15" t="s">
        <v>260</v>
      </c>
      <c r="D41" s="18">
        <v>0.5</v>
      </c>
      <c r="E41" s="15" t="s">
        <v>6</v>
      </c>
      <c r="F41" s="15" t="s">
        <v>58</v>
      </c>
    </row>
    <row r="42" spans="1:6" x14ac:dyDescent="0.35">
      <c r="A42" s="19">
        <v>46261</v>
      </c>
      <c r="B42" s="15" t="s">
        <v>262</v>
      </c>
      <c r="C42" s="15" t="s">
        <v>260</v>
      </c>
      <c r="D42" s="18">
        <v>5</v>
      </c>
      <c r="E42" s="15" t="s">
        <v>6</v>
      </c>
      <c r="F42" s="15" t="s">
        <v>58</v>
      </c>
    </row>
    <row r="43" spans="1:6" x14ac:dyDescent="0.35">
      <c r="A43" s="17">
        <v>46261</v>
      </c>
      <c r="B43" s="15" t="s">
        <v>190</v>
      </c>
      <c r="C43" s="15" t="s">
        <v>260</v>
      </c>
      <c r="D43" s="18">
        <v>8.5</v>
      </c>
      <c r="E43" s="15" t="s">
        <v>6</v>
      </c>
      <c r="F43" s="15" t="s">
        <v>58</v>
      </c>
    </row>
    <row r="44" spans="1:6" x14ac:dyDescent="0.35">
      <c r="A44" s="19">
        <v>46261</v>
      </c>
      <c r="B44" s="15" t="s">
        <v>261</v>
      </c>
      <c r="C44" s="15" t="s">
        <v>260</v>
      </c>
      <c r="D44" s="18">
        <v>4</v>
      </c>
      <c r="E44" s="15" t="s">
        <v>6</v>
      </c>
      <c r="F44" s="15" t="s">
        <v>58</v>
      </c>
    </row>
    <row r="45" spans="1:6" x14ac:dyDescent="0.35">
      <c r="A45" s="17">
        <v>46261</v>
      </c>
      <c r="B45" s="15" t="s">
        <v>180</v>
      </c>
      <c r="C45" s="15" t="s">
        <v>260</v>
      </c>
      <c r="D45" s="18">
        <v>1.5</v>
      </c>
      <c r="E45" s="15" t="s">
        <v>6</v>
      </c>
      <c r="F45" s="15" t="s">
        <v>58</v>
      </c>
    </row>
    <row r="46" spans="1:6" x14ac:dyDescent="0.35">
      <c r="A46" s="19">
        <v>46261</v>
      </c>
      <c r="B46" s="15" t="s">
        <v>95</v>
      </c>
      <c r="C46" s="15" t="s">
        <v>260</v>
      </c>
      <c r="D46" s="18">
        <v>8</v>
      </c>
      <c r="E46" s="15" t="s">
        <v>6</v>
      </c>
      <c r="F46" s="15" t="s">
        <v>58</v>
      </c>
    </row>
    <row r="47" spans="1:6" x14ac:dyDescent="0.35">
      <c r="A47" s="17">
        <v>46260</v>
      </c>
      <c r="B47" s="15" t="s">
        <v>77</v>
      </c>
      <c r="C47" s="15" t="s">
        <v>260</v>
      </c>
      <c r="D47" s="18">
        <v>0.5</v>
      </c>
      <c r="E47" s="15" t="s">
        <v>6</v>
      </c>
      <c r="F47" s="15" t="s">
        <v>58</v>
      </c>
    </row>
    <row r="48" spans="1:6" x14ac:dyDescent="0.35">
      <c r="A48" s="19">
        <v>46260</v>
      </c>
      <c r="B48" s="15" t="s">
        <v>87</v>
      </c>
      <c r="C48" s="15" t="s">
        <v>260</v>
      </c>
      <c r="D48" s="18">
        <v>1.1499999999999999</v>
      </c>
      <c r="E48" s="15" t="s">
        <v>6</v>
      </c>
      <c r="F48" s="15" t="s">
        <v>58</v>
      </c>
    </row>
    <row r="49" spans="1:6" x14ac:dyDescent="0.35">
      <c r="A49" s="17">
        <v>46260</v>
      </c>
      <c r="B49" s="15" t="s">
        <v>112</v>
      </c>
      <c r="C49" s="15" t="s">
        <v>260</v>
      </c>
      <c r="D49" s="18">
        <v>4</v>
      </c>
      <c r="E49" s="15" t="s">
        <v>6</v>
      </c>
      <c r="F49" s="15" t="s">
        <v>58</v>
      </c>
    </row>
    <row r="50" spans="1:6" x14ac:dyDescent="0.35">
      <c r="A50" s="19">
        <v>46260</v>
      </c>
      <c r="B50" s="15" t="s">
        <v>262</v>
      </c>
      <c r="C50" s="15" t="s">
        <v>260</v>
      </c>
      <c r="D50" s="18">
        <v>3.5</v>
      </c>
      <c r="E50" s="15" t="s">
        <v>6</v>
      </c>
      <c r="F50" s="15" t="s">
        <v>58</v>
      </c>
    </row>
    <row r="51" spans="1:6" x14ac:dyDescent="0.35">
      <c r="A51" s="17">
        <v>46260</v>
      </c>
      <c r="B51" s="15" t="s">
        <v>190</v>
      </c>
      <c r="C51" s="15" t="s">
        <v>260</v>
      </c>
      <c r="D51" s="18">
        <v>4</v>
      </c>
      <c r="E51" s="15" t="s">
        <v>6</v>
      </c>
      <c r="F51" s="15" t="s">
        <v>58</v>
      </c>
    </row>
    <row r="52" spans="1:6" x14ac:dyDescent="0.35">
      <c r="A52" s="19">
        <v>46260</v>
      </c>
      <c r="B52" s="15" t="s">
        <v>261</v>
      </c>
      <c r="C52" s="15" t="s">
        <v>260</v>
      </c>
      <c r="D52" s="18">
        <v>2</v>
      </c>
      <c r="E52" s="15" t="s">
        <v>6</v>
      </c>
      <c r="F52" s="15" t="s">
        <v>58</v>
      </c>
    </row>
    <row r="53" spans="1:6" x14ac:dyDescent="0.35">
      <c r="A53" s="17">
        <v>46260</v>
      </c>
      <c r="B53" s="15" t="s">
        <v>95</v>
      </c>
      <c r="C53" s="15" t="s">
        <v>260</v>
      </c>
      <c r="D53" s="18">
        <v>8</v>
      </c>
      <c r="E53" s="15" t="s">
        <v>6</v>
      </c>
      <c r="F53" s="15" t="s">
        <v>58</v>
      </c>
    </row>
    <row r="54" spans="1:6" x14ac:dyDescent="0.35">
      <c r="A54" s="19">
        <v>46259</v>
      </c>
      <c r="B54" s="15" t="s">
        <v>87</v>
      </c>
      <c r="C54" s="15" t="s">
        <v>260</v>
      </c>
      <c r="D54" s="18">
        <v>1</v>
      </c>
      <c r="E54" s="15" t="s">
        <v>6</v>
      </c>
      <c r="F54" s="15" t="s">
        <v>58</v>
      </c>
    </row>
    <row r="55" spans="1:6" x14ac:dyDescent="0.35">
      <c r="A55" s="17">
        <v>46259</v>
      </c>
      <c r="B55" s="15" t="s">
        <v>77</v>
      </c>
      <c r="C55" s="15" t="s">
        <v>260</v>
      </c>
      <c r="D55" s="18">
        <v>0.5</v>
      </c>
      <c r="E55" s="15" t="s">
        <v>6</v>
      </c>
      <c r="F55" s="15" t="s">
        <v>58</v>
      </c>
    </row>
    <row r="56" spans="1:6" x14ac:dyDescent="0.35">
      <c r="A56" s="19">
        <v>46259</v>
      </c>
      <c r="B56" s="15" t="s">
        <v>112</v>
      </c>
      <c r="C56" s="15" t="s">
        <v>260</v>
      </c>
      <c r="D56" s="18">
        <v>4</v>
      </c>
      <c r="E56" s="15" t="s">
        <v>6</v>
      </c>
      <c r="F56" s="15" t="s">
        <v>58</v>
      </c>
    </row>
    <row r="57" spans="1:6" x14ac:dyDescent="0.35">
      <c r="A57" s="17">
        <v>46259</v>
      </c>
      <c r="B57" s="15" t="s">
        <v>262</v>
      </c>
      <c r="C57" s="15" t="s">
        <v>260</v>
      </c>
      <c r="D57" s="18">
        <v>5.5</v>
      </c>
      <c r="E57" s="15" t="s">
        <v>6</v>
      </c>
      <c r="F57" s="15" t="s">
        <v>58</v>
      </c>
    </row>
    <row r="58" spans="1:6" x14ac:dyDescent="0.35">
      <c r="A58" s="19">
        <v>46259</v>
      </c>
      <c r="B58" s="15" t="s">
        <v>95</v>
      </c>
      <c r="C58" s="15" t="s">
        <v>260</v>
      </c>
      <c r="D58" s="18">
        <v>2</v>
      </c>
      <c r="E58" s="15" t="s">
        <v>6</v>
      </c>
      <c r="F58" s="15" t="s">
        <v>58</v>
      </c>
    </row>
    <row r="59" spans="1:6" x14ac:dyDescent="0.35">
      <c r="A59" s="17">
        <v>46258</v>
      </c>
      <c r="B59" s="15" t="s">
        <v>87</v>
      </c>
      <c r="C59" s="15" t="s">
        <v>260</v>
      </c>
      <c r="D59" s="18">
        <v>1.95</v>
      </c>
      <c r="E59" s="15" t="s">
        <v>6</v>
      </c>
      <c r="F59" s="15" t="s">
        <v>58</v>
      </c>
    </row>
    <row r="60" spans="1:6" x14ac:dyDescent="0.35">
      <c r="A60" s="19">
        <v>46258</v>
      </c>
      <c r="B60" s="15" t="s">
        <v>77</v>
      </c>
      <c r="C60" s="15" t="s">
        <v>260</v>
      </c>
      <c r="D60" s="18">
        <v>0.5</v>
      </c>
      <c r="E60" s="15" t="s">
        <v>6</v>
      </c>
      <c r="F60" s="15" t="s">
        <v>58</v>
      </c>
    </row>
    <row r="61" spans="1:6" x14ac:dyDescent="0.35">
      <c r="A61" s="17">
        <v>46258</v>
      </c>
      <c r="B61" s="15" t="s">
        <v>112</v>
      </c>
      <c r="C61" s="15" t="s">
        <v>260</v>
      </c>
      <c r="D61" s="18">
        <v>4</v>
      </c>
      <c r="E61" s="15" t="s">
        <v>6</v>
      </c>
      <c r="F61" s="15" t="s">
        <v>58</v>
      </c>
    </row>
    <row r="62" spans="1:6" x14ac:dyDescent="0.35">
      <c r="A62" s="19">
        <v>46258</v>
      </c>
      <c r="B62" s="15" t="s">
        <v>115</v>
      </c>
      <c r="C62" s="15" t="s">
        <v>260</v>
      </c>
      <c r="D62" s="18">
        <v>1</v>
      </c>
      <c r="E62" s="15" t="s">
        <v>6</v>
      </c>
      <c r="F62" s="15" t="s">
        <v>58</v>
      </c>
    </row>
    <row r="63" spans="1:6" x14ac:dyDescent="0.35">
      <c r="A63" s="17">
        <v>46258</v>
      </c>
      <c r="B63" s="15" t="s">
        <v>262</v>
      </c>
      <c r="C63" s="15" t="s">
        <v>260</v>
      </c>
      <c r="D63" s="18">
        <v>5</v>
      </c>
      <c r="E63" s="15" t="s">
        <v>6</v>
      </c>
      <c r="F63" s="15" t="s">
        <v>58</v>
      </c>
    </row>
    <row r="64" spans="1:6" x14ac:dyDescent="0.35">
      <c r="A64" s="19">
        <v>46255</v>
      </c>
      <c r="B64" s="15" t="s">
        <v>107</v>
      </c>
      <c r="C64" s="15" t="s">
        <v>260</v>
      </c>
      <c r="D64" s="18">
        <v>0.5</v>
      </c>
      <c r="E64" s="15" t="s">
        <v>6</v>
      </c>
      <c r="F64" s="15" t="s">
        <v>58</v>
      </c>
    </row>
    <row r="65" spans="1:6" x14ac:dyDescent="0.35">
      <c r="A65" s="17">
        <v>46255</v>
      </c>
      <c r="B65" s="15" t="s">
        <v>190</v>
      </c>
      <c r="C65" s="15" t="s">
        <v>260</v>
      </c>
      <c r="D65" s="18">
        <v>8</v>
      </c>
      <c r="E65" s="15" t="s">
        <v>6</v>
      </c>
      <c r="F65" s="15" t="s">
        <v>58</v>
      </c>
    </row>
    <row r="66" spans="1:6" x14ac:dyDescent="0.35">
      <c r="A66" s="19">
        <v>46255</v>
      </c>
      <c r="B66" s="15" t="s">
        <v>87</v>
      </c>
      <c r="C66" s="15" t="s">
        <v>260</v>
      </c>
      <c r="D66" s="18">
        <v>0.8</v>
      </c>
      <c r="E66" s="15" t="s">
        <v>6</v>
      </c>
      <c r="F66" s="15" t="s">
        <v>58</v>
      </c>
    </row>
    <row r="67" spans="1:6" x14ac:dyDescent="0.35">
      <c r="A67" s="17">
        <v>46255</v>
      </c>
      <c r="B67" s="15" t="s">
        <v>77</v>
      </c>
      <c r="C67" s="15" t="s">
        <v>260</v>
      </c>
      <c r="D67" s="18">
        <v>3</v>
      </c>
      <c r="E67" s="15" t="s">
        <v>6</v>
      </c>
      <c r="F67" s="15" t="s">
        <v>58</v>
      </c>
    </row>
    <row r="68" spans="1:6" x14ac:dyDescent="0.35">
      <c r="A68" s="19">
        <v>46255</v>
      </c>
      <c r="B68" s="15" t="s">
        <v>262</v>
      </c>
      <c r="C68" s="15" t="s">
        <v>260</v>
      </c>
      <c r="D68" s="18">
        <v>2</v>
      </c>
      <c r="E68" s="15" t="s">
        <v>6</v>
      </c>
      <c r="F68" s="15" t="s">
        <v>58</v>
      </c>
    </row>
    <row r="69" spans="1:6" x14ac:dyDescent="0.35">
      <c r="A69" s="17">
        <v>46255</v>
      </c>
      <c r="B69" s="15" t="s">
        <v>95</v>
      </c>
      <c r="C69" s="15" t="s">
        <v>260</v>
      </c>
      <c r="D69" s="18">
        <v>5</v>
      </c>
      <c r="E69" s="15" t="s">
        <v>6</v>
      </c>
      <c r="F69" s="15" t="s">
        <v>58</v>
      </c>
    </row>
    <row r="70" spans="1:6" x14ac:dyDescent="0.35">
      <c r="A70" s="19">
        <v>46254</v>
      </c>
      <c r="B70" s="15" t="s">
        <v>107</v>
      </c>
      <c r="C70" s="15" t="s">
        <v>260</v>
      </c>
      <c r="D70" s="18">
        <v>1</v>
      </c>
      <c r="E70" s="15" t="s">
        <v>6</v>
      </c>
      <c r="F70" s="15" t="s">
        <v>58</v>
      </c>
    </row>
    <row r="71" spans="1:6" x14ac:dyDescent="0.35">
      <c r="A71" s="17">
        <v>46254</v>
      </c>
      <c r="B71" s="15" t="s">
        <v>190</v>
      </c>
      <c r="C71" s="15" t="s">
        <v>260</v>
      </c>
      <c r="D71" s="18">
        <v>8.5</v>
      </c>
      <c r="E71" s="15" t="s">
        <v>6</v>
      </c>
      <c r="F71" s="15" t="s">
        <v>58</v>
      </c>
    </row>
    <row r="72" spans="1:6" x14ac:dyDescent="0.35">
      <c r="A72" s="19">
        <v>46254</v>
      </c>
      <c r="B72" s="15" t="s">
        <v>87</v>
      </c>
      <c r="C72" s="15" t="s">
        <v>260</v>
      </c>
      <c r="D72" s="18">
        <v>0.85</v>
      </c>
      <c r="E72" s="15" t="s">
        <v>6</v>
      </c>
      <c r="F72" s="15" t="s">
        <v>58</v>
      </c>
    </row>
    <row r="73" spans="1:6" x14ac:dyDescent="0.35">
      <c r="A73" s="17">
        <v>46254</v>
      </c>
      <c r="B73" s="15" t="s">
        <v>77</v>
      </c>
      <c r="C73" s="15" t="s">
        <v>260</v>
      </c>
      <c r="D73" s="18">
        <v>0.75</v>
      </c>
      <c r="E73" s="15" t="s">
        <v>6</v>
      </c>
      <c r="F73" s="15" t="s">
        <v>58</v>
      </c>
    </row>
    <row r="74" spans="1:6" x14ac:dyDescent="0.35">
      <c r="A74" s="19">
        <v>46254</v>
      </c>
      <c r="B74" s="15" t="s">
        <v>261</v>
      </c>
      <c r="C74" s="15" t="s">
        <v>260</v>
      </c>
      <c r="D74" s="18">
        <v>4</v>
      </c>
      <c r="E74" s="15" t="s">
        <v>6</v>
      </c>
      <c r="F74" s="15" t="s">
        <v>58</v>
      </c>
    </row>
    <row r="75" spans="1:6" x14ac:dyDescent="0.35">
      <c r="A75" s="17">
        <v>46254</v>
      </c>
      <c r="B75" s="15" t="s">
        <v>91</v>
      </c>
      <c r="C75" s="15" t="s">
        <v>260</v>
      </c>
      <c r="D75" s="18">
        <v>6</v>
      </c>
      <c r="E75" s="15" t="s">
        <v>6</v>
      </c>
      <c r="F75" s="15" t="s">
        <v>58</v>
      </c>
    </row>
    <row r="76" spans="1:6" x14ac:dyDescent="0.35">
      <c r="A76" s="19">
        <v>46254</v>
      </c>
      <c r="B76" s="15" t="s">
        <v>262</v>
      </c>
      <c r="C76" s="15" t="s">
        <v>260</v>
      </c>
      <c r="D76" s="18">
        <v>3.5</v>
      </c>
      <c r="E76" s="15" t="s">
        <v>6</v>
      </c>
      <c r="F76" s="15" t="s">
        <v>58</v>
      </c>
    </row>
    <row r="77" spans="1:6" x14ac:dyDescent="0.35">
      <c r="A77" s="17">
        <v>46254</v>
      </c>
      <c r="B77" s="15" t="s">
        <v>180</v>
      </c>
      <c r="C77" s="15" t="s">
        <v>260</v>
      </c>
      <c r="D77" s="18">
        <v>1.7</v>
      </c>
      <c r="E77" s="15" t="s">
        <v>6</v>
      </c>
      <c r="F77" s="15" t="s">
        <v>58</v>
      </c>
    </row>
    <row r="78" spans="1:6" x14ac:dyDescent="0.35">
      <c r="A78" s="19">
        <v>46254</v>
      </c>
      <c r="B78" s="15" t="s">
        <v>95</v>
      </c>
      <c r="C78" s="15" t="s">
        <v>260</v>
      </c>
      <c r="D78" s="18">
        <v>5</v>
      </c>
      <c r="E78" s="15" t="s">
        <v>6</v>
      </c>
      <c r="F78" s="15" t="s">
        <v>58</v>
      </c>
    </row>
    <row r="79" spans="1:6" x14ac:dyDescent="0.35">
      <c r="A79" s="17">
        <v>46253</v>
      </c>
      <c r="B79" s="15" t="s">
        <v>107</v>
      </c>
      <c r="C79" s="15" t="s">
        <v>260</v>
      </c>
      <c r="D79" s="18">
        <v>1</v>
      </c>
      <c r="E79" s="15" t="s">
        <v>6</v>
      </c>
      <c r="F79" s="15" t="s">
        <v>58</v>
      </c>
    </row>
    <row r="80" spans="1:6" x14ac:dyDescent="0.35">
      <c r="A80" s="19">
        <v>46253</v>
      </c>
      <c r="B80" s="15" t="s">
        <v>87</v>
      </c>
      <c r="C80" s="15" t="s">
        <v>260</v>
      </c>
      <c r="D80" s="18">
        <v>1.05</v>
      </c>
      <c r="E80" s="15" t="s">
        <v>6</v>
      </c>
      <c r="F80" s="15" t="s">
        <v>58</v>
      </c>
    </row>
    <row r="81" spans="1:6" x14ac:dyDescent="0.35">
      <c r="A81" s="17">
        <v>46253</v>
      </c>
      <c r="B81" s="15" t="s">
        <v>77</v>
      </c>
      <c r="C81" s="15" t="s">
        <v>260</v>
      </c>
      <c r="D81" s="18">
        <v>0.75</v>
      </c>
      <c r="E81" s="15" t="s">
        <v>6</v>
      </c>
      <c r="F81" s="15" t="s">
        <v>58</v>
      </c>
    </row>
    <row r="82" spans="1:6" x14ac:dyDescent="0.35">
      <c r="A82" s="19">
        <v>46253</v>
      </c>
      <c r="B82" s="15" t="s">
        <v>261</v>
      </c>
      <c r="C82" s="15" t="s">
        <v>260</v>
      </c>
      <c r="D82" s="18">
        <v>2</v>
      </c>
      <c r="E82" s="15" t="s">
        <v>6</v>
      </c>
      <c r="F82" s="15" t="s">
        <v>58</v>
      </c>
    </row>
    <row r="83" spans="1:6" x14ac:dyDescent="0.35">
      <c r="A83" s="17">
        <v>46253</v>
      </c>
      <c r="B83" s="15" t="s">
        <v>91</v>
      </c>
      <c r="C83" s="15" t="s">
        <v>260</v>
      </c>
      <c r="D83" s="18">
        <v>3</v>
      </c>
      <c r="E83" s="15" t="s">
        <v>6</v>
      </c>
      <c r="F83" s="15" t="s">
        <v>58</v>
      </c>
    </row>
    <row r="84" spans="1:6" x14ac:dyDescent="0.35">
      <c r="A84" s="19">
        <v>46253</v>
      </c>
      <c r="B84" s="15" t="s">
        <v>262</v>
      </c>
      <c r="C84" s="15" t="s">
        <v>260</v>
      </c>
      <c r="D84" s="18">
        <v>3.5</v>
      </c>
      <c r="E84" s="15" t="s">
        <v>6</v>
      </c>
      <c r="F84" s="15" t="s">
        <v>58</v>
      </c>
    </row>
    <row r="85" spans="1:6" x14ac:dyDescent="0.35">
      <c r="A85" s="17">
        <v>46253</v>
      </c>
      <c r="B85" s="15" t="s">
        <v>180</v>
      </c>
      <c r="C85" s="15" t="s">
        <v>260</v>
      </c>
      <c r="D85" s="18">
        <v>1.7</v>
      </c>
      <c r="E85" s="15" t="s">
        <v>6</v>
      </c>
      <c r="F85" s="15" t="s">
        <v>58</v>
      </c>
    </row>
    <row r="86" spans="1:6" x14ac:dyDescent="0.35">
      <c r="A86" s="19">
        <v>46253</v>
      </c>
      <c r="B86" s="15" t="s">
        <v>115</v>
      </c>
      <c r="C86" s="15" t="s">
        <v>260</v>
      </c>
      <c r="D86" s="18">
        <v>0.5</v>
      </c>
      <c r="E86" s="15" t="s">
        <v>6</v>
      </c>
      <c r="F86" s="15" t="s">
        <v>58</v>
      </c>
    </row>
    <row r="87" spans="1:6" x14ac:dyDescent="0.35">
      <c r="A87" s="17">
        <v>46253</v>
      </c>
      <c r="B87" s="15" t="s">
        <v>95</v>
      </c>
      <c r="C87" s="15" t="s">
        <v>260</v>
      </c>
      <c r="D87" s="18">
        <v>8</v>
      </c>
      <c r="E87" s="15" t="s">
        <v>6</v>
      </c>
      <c r="F87" s="15" t="s">
        <v>58</v>
      </c>
    </row>
    <row r="88" spans="1:6" x14ac:dyDescent="0.35">
      <c r="A88" s="19">
        <v>46252</v>
      </c>
      <c r="B88" s="15" t="s">
        <v>107</v>
      </c>
      <c r="C88" s="15" t="s">
        <v>260</v>
      </c>
      <c r="D88" s="18">
        <v>1</v>
      </c>
      <c r="E88" s="15" t="s">
        <v>6</v>
      </c>
      <c r="F88" s="15" t="s">
        <v>58</v>
      </c>
    </row>
    <row r="89" spans="1:6" x14ac:dyDescent="0.35">
      <c r="A89" s="17">
        <v>46252</v>
      </c>
      <c r="B89" s="15" t="s">
        <v>87</v>
      </c>
      <c r="C89" s="15" t="s">
        <v>260</v>
      </c>
      <c r="D89" s="18">
        <v>0.95</v>
      </c>
      <c r="E89" s="15" t="s">
        <v>6</v>
      </c>
      <c r="F89" s="15" t="s">
        <v>58</v>
      </c>
    </row>
    <row r="90" spans="1:6" x14ac:dyDescent="0.35">
      <c r="A90" s="19">
        <v>46252</v>
      </c>
      <c r="B90" s="15" t="s">
        <v>77</v>
      </c>
      <c r="C90" s="15" t="s">
        <v>260</v>
      </c>
      <c r="D90" s="18">
        <v>0.75</v>
      </c>
      <c r="E90" s="15" t="s">
        <v>6</v>
      </c>
      <c r="F90" s="15" t="s">
        <v>58</v>
      </c>
    </row>
    <row r="91" spans="1:6" x14ac:dyDescent="0.35">
      <c r="A91" s="17">
        <v>46252</v>
      </c>
      <c r="B91" s="15" t="s">
        <v>91</v>
      </c>
      <c r="C91" s="15" t="s">
        <v>260</v>
      </c>
      <c r="D91" s="18">
        <v>2</v>
      </c>
      <c r="E91" s="15" t="s">
        <v>6</v>
      </c>
      <c r="F91" s="15" t="s">
        <v>58</v>
      </c>
    </row>
    <row r="92" spans="1:6" x14ac:dyDescent="0.35">
      <c r="A92" s="19">
        <v>46252</v>
      </c>
      <c r="B92" s="15" t="s">
        <v>262</v>
      </c>
      <c r="C92" s="15" t="s">
        <v>260</v>
      </c>
      <c r="D92" s="18">
        <v>4.5</v>
      </c>
      <c r="E92" s="15" t="s">
        <v>6</v>
      </c>
      <c r="F92" s="15" t="s">
        <v>58</v>
      </c>
    </row>
    <row r="93" spans="1:6" x14ac:dyDescent="0.35">
      <c r="A93" s="17">
        <v>46252</v>
      </c>
      <c r="B93" s="15" t="s">
        <v>180</v>
      </c>
      <c r="C93" s="15" t="s">
        <v>260</v>
      </c>
      <c r="D93" s="18">
        <v>1.7</v>
      </c>
      <c r="E93" s="15" t="s">
        <v>6</v>
      </c>
      <c r="F93" s="15" t="s">
        <v>58</v>
      </c>
    </row>
    <row r="94" spans="1:6" x14ac:dyDescent="0.35">
      <c r="A94" s="19">
        <v>46252</v>
      </c>
      <c r="B94" s="15" t="s">
        <v>115</v>
      </c>
      <c r="C94" s="15" t="s">
        <v>260</v>
      </c>
      <c r="D94" s="18">
        <v>1</v>
      </c>
      <c r="E94" s="15" t="s">
        <v>6</v>
      </c>
      <c r="F94" s="15" t="s">
        <v>58</v>
      </c>
    </row>
    <row r="95" spans="1:6" x14ac:dyDescent="0.35">
      <c r="A95" s="17">
        <v>46248</v>
      </c>
      <c r="B95" s="15" t="s">
        <v>107</v>
      </c>
      <c r="C95" s="15" t="s">
        <v>260</v>
      </c>
      <c r="D95" s="18">
        <v>0.5</v>
      </c>
      <c r="E95" s="15" t="s">
        <v>6</v>
      </c>
      <c r="F95" s="15" t="s">
        <v>58</v>
      </c>
    </row>
    <row r="96" spans="1:6" x14ac:dyDescent="0.35">
      <c r="A96" s="19">
        <v>46248</v>
      </c>
      <c r="B96" s="15" t="s">
        <v>87</v>
      </c>
      <c r="C96" s="15" t="s">
        <v>260</v>
      </c>
      <c r="D96" s="18">
        <v>0.8</v>
      </c>
      <c r="E96" s="15" t="s">
        <v>6</v>
      </c>
      <c r="F96" s="15" t="s">
        <v>58</v>
      </c>
    </row>
    <row r="97" spans="1:6" x14ac:dyDescent="0.35">
      <c r="A97" s="17">
        <v>46248</v>
      </c>
      <c r="B97" s="15" t="s">
        <v>77</v>
      </c>
      <c r="C97" s="15" t="s">
        <v>260</v>
      </c>
      <c r="D97" s="18">
        <v>3</v>
      </c>
      <c r="E97" s="15" t="s">
        <v>6</v>
      </c>
      <c r="F97" s="15" t="s">
        <v>58</v>
      </c>
    </row>
    <row r="98" spans="1:6" x14ac:dyDescent="0.35">
      <c r="A98" s="19">
        <v>46248</v>
      </c>
      <c r="B98" s="15" t="s">
        <v>115</v>
      </c>
      <c r="C98" s="15" t="s">
        <v>260</v>
      </c>
      <c r="D98" s="18">
        <v>1</v>
      </c>
      <c r="E98" s="15" t="s">
        <v>6</v>
      </c>
      <c r="F98" s="15" t="s">
        <v>58</v>
      </c>
    </row>
    <row r="99" spans="1:6" x14ac:dyDescent="0.35">
      <c r="A99" s="17">
        <v>46248</v>
      </c>
      <c r="B99" s="15" t="s">
        <v>180</v>
      </c>
      <c r="C99" s="15" t="s">
        <v>260</v>
      </c>
      <c r="D99" s="18">
        <v>1.7</v>
      </c>
      <c r="E99" s="15" t="s">
        <v>6</v>
      </c>
      <c r="F99" s="15" t="s">
        <v>58</v>
      </c>
    </row>
    <row r="100" spans="1:6" x14ac:dyDescent="0.35">
      <c r="A100" s="19">
        <v>46248</v>
      </c>
      <c r="B100" s="15" t="s">
        <v>262</v>
      </c>
      <c r="C100" s="15" t="s">
        <v>260</v>
      </c>
      <c r="D100" s="18">
        <v>3</v>
      </c>
      <c r="E100" s="15" t="s">
        <v>6</v>
      </c>
      <c r="F100" s="15" t="s">
        <v>58</v>
      </c>
    </row>
    <row r="101" spans="1:6" x14ac:dyDescent="0.35">
      <c r="A101" s="17">
        <v>46247</v>
      </c>
      <c r="B101" s="15" t="s">
        <v>265</v>
      </c>
      <c r="C101" s="15" t="s">
        <v>260</v>
      </c>
      <c r="D101" s="18">
        <v>4</v>
      </c>
      <c r="E101" s="15" t="s">
        <v>6</v>
      </c>
      <c r="F101" s="15" t="s">
        <v>58</v>
      </c>
    </row>
    <row r="102" spans="1:6" x14ac:dyDescent="0.35">
      <c r="A102" s="19">
        <v>46247</v>
      </c>
      <c r="B102" s="15" t="s">
        <v>107</v>
      </c>
      <c r="C102" s="15" t="s">
        <v>260</v>
      </c>
      <c r="D102" s="18">
        <v>1</v>
      </c>
      <c r="E102" s="15" t="s">
        <v>6</v>
      </c>
      <c r="F102" s="15" t="s">
        <v>58</v>
      </c>
    </row>
    <row r="103" spans="1:6" x14ac:dyDescent="0.35">
      <c r="A103" s="17">
        <v>46247</v>
      </c>
      <c r="B103" s="15" t="s">
        <v>87</v>
      </c>
      <c r="C103" s="15" t="s">
        <v>260</v>
      </c>
      <c r="D103" s="18">
        <v>0.9</v>
      </c>
      <c r="E103" s="15" t="s">
        <v>6</v>
      </c>
      <c r="F103" s="15" t="s">
        <v>58</v>
      </c>
    </row>
    <row r="104" spans="1:6" x14ac:dyDescent="0.35">
      <c r="A104" s="19">
        <v>46247</v>
      </c>
      <c r="B104" s="15" t="s">
        <v>77</v>
      </c>
      <c r="C104" s="15" t="s">
        <v>260</v>
      </c>
      <c r="D104" s="18">
        <v>0.75</v>
      </c>
      <c r="E104" s="15" t="s">
        <v>6</v>
      </c>
      <c r="F104" s="15" t="s">
        <v>58</v>
      </c>
    </row>
    <row r="105" spans="1:6" x14ac:dyDescent="0.35">
      <c r="A105" s="17">
        <v>46247</v>
      </c>
      <c r="B105" s="15" t="s">
        <v>261</v>
      </c>
      <c r="C105" s="15" t="s">
        <v>260</v>
      </c>
      <c r="D105" s="18">
        <v>4</v>
      </c>
      <c r="E105" s="15" t="s">
        <v>6</v>
      </c>
      <c r="F105" s="15" t="s">
        <v>58</v>
      </c>
    </row>
    <row r="106" spans="1:6" x14ac:dyDescent="0.35">
      <c r="A106" s="19">
        <v>46247</v>
      </c>
      <c r="B106" s="15" t="s">
        <v>115</v>
      </c>
      <c r="C106" s="15" t="s">
        <v>260</v>
      </c>
      <c r="D106" s="18">
        <v>1</v>
      </c>
      <c r="E106" s="15" t="s">
        <v>6</v>
      </c>
      <c r="F106" s="15" t="s">
        <v>58</v>
      </c>
    </row>
    <row r="107" spans="1:6" x14ac:dyDescent="0.35">
      <c r="A107" s="17">
        <v>46247</v>
      </c>
      <c r="B107" s="15" t="s">
        <v>180</v>
      </c>
      <c r="C107" s="15" t="s">
        <v>260</v>
      </c>
      <c r="D107" s="18">
        <v>1.7</v>
      </c>
      <c r="E107" s="15" t="s">
        <v>6</v>
      </c>
      <c r="F107" s="15" t="s">
        <v>58</v>
      </c>
    </row>
    <row r="108" spans="1:6" x14ac:dyDescent="0.35">
      <c r="A108" s="19">
        <v>46247</v>
      </c>
      <c r="B108" s="15" t="s">
        <v>262</v>
      </c>
      <c r="C108" s="15" t="s">
        <v>260</v>
      </c>
      <c r="D108" s="18">
        <v>3</v>
      </c>
      <c r="E108" s="15" t="s">
        <v>6</v>
      </c>
      <c r="F108" s="15" t="s">
        <v>58</v>
      </c>
    </row>
    <row r="109" spans="1:6" x14ac:dyDescent="0.35">
      <c r="A109" s="17">
        <v>46246</v>
      </c>
      <c r="B109" s="15" t="s">
        <v>107</v>
      </c>
      <c r="C109" s="15" t="s">
        <v>260</v>
      </c>
      <c r="D109" s="18">
        <v>1</v>
      </c>
      <c r="E109" s="15" t="s">
        <v>6</v>
      </c>
      <c r="F109" s="15" t="s">
        <v>58</v>
      </c>
    </row>
    <row r="110" spans="1:6" x14ac:dyDescent="0.35">
      <c r="A110" s="19">
        <v>46246</v>
      </c>
      <c r="B110" s="15" t="s">
        <v>87</v>
      </c>
      <c r="C110" s="15" t="s">
        <v>260</v>
      </c>
      <c r="D110" s="18">
        <v>0.6</v>
      </c>
      <c r="E110" s="15" t="s">
        <v>6</v>
      </c>
      <c r="F110" s="15" t="s">
        <v>58</v>
      </c>
    </row>
    <row r="111" spans="1:6" x14ac:dyDescent="0.35">
      <c r="A111" s="17">
        <v>46246</v>
      </c>
      <c r="B111" s="15" t="s">
        <v>77</v>
      </c>
      <c r="C111" s="15" t="s">
        <v>260</v>
      </c>
      <c r="D111" s="18">
        <v>0.5</v>
      </c>
      <c r="E111" s="15" t="s">
        <v>6</v>
      </c>
      <c r="F111" s="15" t="s">
        <v>58</v>
      </c>
    </row>
    <row r="112" spans="1:6" x14ac:dyDescent="0.35">
      <c r="A112" s="19">
        <v>46246</v>
      </c>
      <c r="B112" s="15" t="s">
        <v>95</v>
      </c>
      <c r="C112" s="15" t="s">
        <v>260</v>
      </c>
      <c r="D112" s="18">
        <v>8</v>
      </c>
      <c r="E112" s="15" t="s">
        <v>6</v>
      </c>
      <c r="F112" s="15" t="s">
        <v>58</v>
      </c>
    </row>
    <row r="113" spans="1:6" x14ac:dyDescent="0.35">
      <c r="A113" s="17">
        <v>46246</v>
      </c>
      <c r="B113" s="15" t="s">
        <v>180</v>
      </c>
      <c r="C113" s="15" t="s">
        <v>260</v>
      </c>
      <c r="D113" s="18">
        <v>1.7</v>
      </c>
      <c r="E113" s="15" t="s">
        <v>6</v>
      </c>
      <c r="F113" s="15" t="s">
        <v>58</v>
      </c>
    </row>
    <row r="114" spans="1:6" x14ac:dyDescent="0.35">
      <c r="A114" s="19">
        <v>46246</v>
      </c>
      <c r="B114" s="15" t="s">
        <v>262</v>
      </c>
      <c r="C114" s="15" t="s">
        <v>260</v>
      </c>
      <c r="D114" s="18">
        <v>3</v>
      </c>
      <c r="E114" s="15" t="s">
        <v>6</v>
      </c>
      <c r="F114" s="15" t="s">
        <v>58</v>
      </c>
    </row>
    <row r="115" spans="1:6" x14ac:dyDescent="0.35">
      <c r="A115" s="17">
        <v>46246</v>
      </c>
      <c r="B115" s="15" t="s">
        <v>181</v>
      </c>
      <c r="C115" s="15" t="s">
        <v>260</v>
      </c>
      <c r="D115" s="18">
        <v>8.5</v>
      </c>
      <c r="E115" s="15" t="s">
        <v>6</v>
      </c>
      <c r="F115" s="15" t="s">
        <v>58</v>
      </c>
    </row>
    <row r="116" spans="1:6" x14ac:dyDescent="0.35">
      <c r="A116" s="19">
        <v>46245</v>
      </c>
      <c r="B116" s="15" t="s">
        <v>107</v>
      </c>
      <c r="C116" s="15" t="s">
        <v>260</v>
      </c>
      <c r="D116" s="18">
        <v>1</v>
      </c>
      <c r="E116" s="15" t="s">
        <v>6</v>
      </c>
      <c r="F116" s="15" t="s">
        <v>58</v>
      </c>
    </row>
    <row r="117" spans="1:6" x14ac:dyDescent="0.35">
      <c r="A117" s="17">
        <v>46245</v>
      </c>
      <c r="B117" s="15" t="s">
        <v>87</v>
      </c>
      <c r="C117" s="15" t="s">
        <v>260</v>
      </c>
      <c r="D117" s="18">
        <v>0.7</v>
      </c>
      <c r="E117" s="15" t="s">
        <v>6</v>
      </c>
      <c r="F117" s="15" t="s">
        <v>58</v>
      </c>
    </row>
    <row r="118" spans="1:6" x14ac:dyDescent="0.35">
      <c r="A118" s="19">
        <v>46245</v>
      </c>
      <c r="B118" s="15" t="s">
        <v>77</v>
      </c>
      <c r="C118" s="15" t="s">
        <v>260</v>
      </c>
      <c r="D118" s="18">
        <v>0.5</v>
      </c>
      <c r="E118" s="15" t="s">
        <v>6</v>
      </c>
      <c r="F118" s="15" t="s">
        <v>58</v>
      </c>
    </row>
    <row r="119" spans="1:6" x14ac:dyDescent="0.35">
      <c r="A119" s="17">
        <v>46245</v>
      </c>
      <c r="B119" s="15" t="s">
        <v>95</v>
      </c>
      <c r="C119" s="15" t="s">
        <v>260</v>
      </c>
      <c r="D119" s="18">
        <v>6</v>
      </c>
      <c r="E119" s="15" t="s">
        <v>6</v>
      </c>
      <c r="F119" s="15" t="s">
        <v>58</v>
      </c>
    </row>
    <row r="120" spans="1:6" x14ac:dyDescent="0.35">
      <c r="A120" s="19">
        <v>46245</v>
      </c>
      <c r="B120" s="15" t="s">
        <v>261</v>
      </c>
      <c r="C120" s="15" t="s">
        <v>260</v>
      </c>
      <c r="D120" s="18">
        <v>1</v>
      </c>
      <c r="E120" s="15" t="s">
        <v>6</v>
      </c>
      <c r="F120" s="15" t="s">
        <v>58</v>
      </c>
    </row>
    <row r="121" spans="1:6" x14ac:dyDescent="0.35">
      <c r="A121" s="17">
        <v>46245</v>
      </c>
      <c r="B121" s="15" t="s">
        <v>180</v>
      </c>
      <c r="C121" s="15" t="s">
        <v>260</v>
      </c>
      <c r="D121" s="18">
        <v>1.7</v>
      </c>
      <c r="E121" s="15" t="s">
        <v>6</v>
      </c>
      <c r="F121" s="15" t="s">
        <v>58</v>
      </c>
    </row>
    <row r="122" spans="1:6" x14ac:dyDescent="0.35">
      <c r="A122" s="19">
        <v>46245</v>
      </c>
      <c r="B122" s="15" t="s">
        <v>262</v>
      </c>
      <c r="C122" s="15" t="s">
        <v>260</v>
      </c>
      <c r="D122" s="18">
        <v>1</v>
      </c>
      <c r="E122" s="15" t="s">
        <v>6</v>
      </c>
      <c r="F122" s="15" t="s">
        <v>58</v>
      </c>
    </row>
    <row r="123" spans="1:6" x14ac:dyDescent="0.35">
      <c r="A123" s="17">
        <v>46244</v>
      </c>
      <c r="B123" s="15" t="s">
        <v>107</v>
      </c>
      <c r="C123" s="15" t="s">
        <v>260</v>
      </c>
      <c r="D123" s="18">
        <v>1</v>
      </c>
      <c r="E123" s="15" t="s">
        <v>6</v>
      </c>
      <c r="F123" s="15" t="s">
        <v>58</v>
      </c>
    </row>
    <row r="124" spans="1:6" x14ac:dyDescent="0.35">
      <c r="A124" s="19">
        <v>46244</v>
      </c>
      <c r="B124" s="15" t="s">
        <v>87</v>
      </c>
      <c r="C124" s="15" t="s">
        <v>260</v>
      </c>
      <c r="D124" s="18">
        <v>0.8</v>
      </c>
      <c r="E124" s="15" t="s">
        <v>6</v>
      </c>
      <c r="F124" s="15" t="s">
        <v>58</v>
      </c>
    </row>
    <row r="125" spans="1:6" x14ac:dyDescent="0.35">
      <c r="A125" s="17">
        <v>46244</v>
      </c>
      <c r="B125" s="15" t="s">
        <v>77</v>
      </c>
      <c r="C125" s="15" t="s">
        <v>260</v>
      </c>
      <c r="D125" s="18">
        <v>0.5</v>
      </c>
      <c r="E125" s="15" t="s">
        <v>6</v>
      </c>
      <c r="F125" s="15" t="s">
        <v>58</v>
      </c>
    </row>
    <row r="126" spans="1:6" x14ac:dyDescent="0.35">
      <c r="A126" s="19">
        <v>46244</v>
      </c>
      <c r="B126" s="15" t="s">
        <v>95</v>
      </c>
      <c r="C126" s="15" t="s">
        <v>260</v>
      </c>
      <c r="D126" s="18">
        <v>8.5</v>
      </c>
      <c r="E126" s="15" t="s">
        <v>6</v>
      </c>
      <c r="F126" s="15" t="s">
        <v>58</v>
      </c>
    </row>
    <row r="127" spans="1:6" x14ac:dyDescent="0.35">
      <c r="A127" s="17">
        <v>46244</v>
      </c>
      <c r="B127" s="15" t="s">
        <v>180</v>
      </c>
      <c r="C127" s="15" t="s">
        <v>260</v>
      </c>
      <c r="D127" s="18">
        <v>1.7</v>
      </c>
      <c r="E127" s="15" t="s">
        <v>6</v>
      </c>
      <c r="F127" s="15" t="s">
        <v>58</v>
      </c>
    </row>
    <row r="128" spans="1:6" x14ac:dyDescent="0.35">
      <c r="A128" s="19">
        <v>46244</v>
      </c>
      <c r="B128" s="15" t="s">
        <v>262</v>
      </c>
      <c r="C128" s="15" t="s">
        <v>260</v>
      </c>
      <c r="D128" s="18">
        <v>2</v>
      </c>
      <c r="E128" s="15" t="s">
        <v>6</v>
      </c>
      <c r="F128" s="15" t="s">
        <v>58</v>
      </c>
    </row>
    <row r="129" spans="1:6" x14ac:dyDescent="0.35">
      <c r="A129" s="17">
        <v>46243</v>
      </c>
      <c r="B129" s="15" t="s">
        <v>95</v>
      </c>
      <c r="C129" s="15" t="s">
        <v>260</v>
      </c>
      <c r="D129" s="18">
        <v>1</v>
      </c>
      <c r="E129" s="15" t="s">
        <v>6</v>
      </c>
      <c r="F129" s="15" t="s">
        <v>58</v>
      </c>
    </row>
    <row r="130" spans="1:6" x14ac:dyDescent="0.35">
      <c r="A130" s="19">
        <v>46240</v>
      </c>
      <c r="B130" s="15" t="s">
        <v>77</v>
      </c>
      <c r="C130" s="15" t="s">
        <v>260</v>
      </c>
      <c r="D130" s="18">
        <v>0.5</v>
      </c>
      <c r="E130" s="15" t="s">
        <v>6</v>
      </c>
      <c r="F130" s="15" t="s">
        <v>58</v>
      </c>
    </row>
    <row r="131" spans="1:6" x14ac:dyDescent="0.35">
      <c r="A131" s="17">
        <v>46240</v>
      </c>
      <c r="B131" s="15" t="s">
        <v>261</v>
      </c>
      <c r="C131" s="15" t="s">
        <v>260</v>
      </c>
      <c r="D131" s="18">
        <v>4</v>
      </c>
      <c r="E131" s="15" t="s">
        <v>6</v>
      </c>
      <c r="F131" s="15" t="s">
        <v>58</v>
      </c>
    </row>
    <row r="132" spans="1:6" x14ac:dyDescent="0.35">
      <c r="A132" s="19">
        <v>46240</v>
      </c>
      <c r="B132" s="15" t="s">
        <v>262</v>
      </c>
      <c r="C132" s="15" t="s">
        <v>260</v>
      </c>
      <c r="D132" s="18">
        <v>3.5</v>
      </c>
      <c r="E132" s="15" t="s">
        <v>6</v>
      </c>
      <c r="F132" s="15" t="s">
        <v>58</v>
      </c>
    </row>
    <row r="133" spans="1:6" x14ac:dyDescent="0.35">
      <c r="A133" s="17">
        <v>46239</v>
      </c>
      <c r="B133" s="15" t="s">
        <v>77</v>
      </c>
      <c r="C133" s="15" t="s">
        <v>260</v>
      </c>
      <c r="D133" s="18">
        <v>0.5</v>
      </c>
      <c r="E133" s="15" t="s">
        <v>6</v>
      </c>
      <c r="F133" s="15" t="s">
        <v>58</v>
      </c>
    </row>
    <row r="134" spans="1:6" x14ac:dyDescent="0.35">
      <c r="A134" s="19">
        <v>46239</v>
      </c>
      <c r="B134" s="15" t="s">
        <v>261</v>
      </c>
      <c r="C134" s="15" t="s">
        <v>260</v>
      </c>
      <c r="D134" s="18">
        <v>2</v>
      </c>
      <c r="E134" s="15" t="s">
        <v>6</v>
      </c>
      <c r="F134" s="15" t="s">
        <v>58</v>
      </c>
    </row>
    <row r="135" spans="1:6" x14ac:dyDescent="0.35">
      <c r="A135" s="17">
        <v>46239</v>
      </c>
      <c r="B135" s="15" t="s">
        <v>262</v>
      </c>
      <c r="C135" s="15" t="s">
        <v>260</v>
      </c>
      <c r="D135" s="18">
        <v>2</v>
      </c>
      <c r="E135" s="15" t="s">
        <v>6</v>
      </c>
      <c r="F135" s="15" t="s">
        <v>58</v>
      </c>
    </row>
    <row r="136" spans="1:6" x14ac:dyDescent="0.35">
      <c r="A136" s="19">
        <v>46239</v>
      </c>
      <c r="B136" s="15" t="s">
        <v>115</v>
      </c>
      <c r="C136" s="15" t="s">
        <v>260</v>
      </c>
      <c r="D136" s="18">
        <v>3</v>
      </c>
      <c r="E136" s="15" t="s">
        <v>6</v>
      </c>
      <c r="F136" s="15" t="s">
        <v>58</v>
      </c>
    </row>
    <row r="137" spans="1:6" x14ac:dyDescent="0.35">
      <c r="A137" s="17">
        <v>46238</v>
      </c>
      <c r="B137" s="15" t="s">
        <v>77</v>
      </c>
      <c r="C137" s="15" t="s">
        <v>260</v>
      </c>
      <c r="D137" s="18">
        <v>0.5</v>
      </c>
      <c r="E137" s="15" t="s">
        <v>6</v>
      </c>
      <c r="F137" s="15" t="s">
        <v>58</v>
      </c>
    </row>
    <row r="138" spans="1:6" x14ac:dyDescent="0.35">
      <c r="A138" s="19">
        <v>46238</v>
      </c>
      <c r="B138" s="15" t="s">
        <v>262</v>
      </c>
      <c r="C138" s="15" t="s">
        <v>260</v>
      </c>
      <c r="D138" s="18">
        <v>2.5</v>
      </c>
      <c r="E138" s="15" t="s">
        <v>6</v>
      </c>
      <c r="F138" s="15" t="s">
        <v>58</v>
      </c>
    </row>
    <row r="139" spans="1:6" x14ac:dyDescent="0.35">
      <c r="A139" s="17">
        <v>46238</v>
      </c>
      <c r="B139" s="15" t="s">
        <v>115</v>
      </c>
      <c r="C139" s="15" t="s">
        <v>260</v>
      </c>
      <c r="D139" s="18">
        <v>3</v>
      </c>
      <c r="E139" s="15" t="s">
        <v>6</v>
      </c>
      <c r="F139" s="15" t="s">
        <v>58</v>
      </c>
    </row>
    <row r="140" spans="1:6" x14ac:dyDescent="0.35">
      <c r="A140" s="19">
        <v>46237</v>
      </c>
      <c r="B140" s="15" t="s">
        <v>77</v>
      </c>
      <c r="C140" s="15" t="s">
        <v>260</v>
      </c>
      <c r="D140" s="18">
        <v>0.5</v>
      </c>
      <c r="E140" s="15" t="s">
        <v>6</v>
      </c>
      <c r="F140" s="15" t="s">
        <v>58</v>
      </c>
    </row>
    <row r="141" spans="1:6" x14ac:dyDescent="0.35">
      <c r="A141" s="17">
        <v>46237</v>
      </c>
      <c r="B141" s="15" t="s">
        <v>262</v>
      </c>
      <c r="C141" s="15" t="s">
        <v>260</v>
      </c>
      <c r="D141" s="18">
        <v>2.5</v>
      </c>
      <c r="E141" s="15" t="s">
        <v>6</v>
      </c>
      <c r="F141" s="15" t="s">
        <v>58</v>
      </c>
    </row>
    <row r="142" spans="1:6" x14ac:dyDescent="0.35">
      <c r="A142" s="19">
        <v>46237</v>
      </c>
      <c r="B142" s="15" t="s">
        <v>115</v>
      </c>
      <c r="C142" s="15" t="s">
        <v>260</v>
      </c>
      <c r="D142" s="18">
        <v>3</v>
      </c>
      <c r="E142" s="15" t="s">
        <v>6</v>
      </c>
      <c r="F142" s="15" t="s">
        <v>58</v>
      </c>
    </row>
    <row r="143" spans="1:6" x14ac:dyDescent="0.35">
      <c r="A143" s="17">
        <v>46234</v>
      </c>
      <c r="B143" s="15" t="s">
        <v>77</v>
      </c>
      <c r="C143" s="15" t="s">
        <v>260</v>
      </c>
      <c r="D143" s="18">
        <v>0.5</v>
      </c>
      <c r="E143" s="15" t="s">
        <v>5</v>
      </c>
      <c r="F143" s="15" t="s">
        <v>58</v>
      </c>
    </row>
    <row r="144" spans="1:6" x14ac:dyDescent="0.35">
      <c r="A144" s="19">
        <v>46234</v>
      </c>
      <c r="B144" s="15" t="s">
        <v>262</v>
      </c>
      <c r="C144" s="15" t="s">
        <v>260</v>
      </c>
      <c r="D144" s="18">
        <v>5</v>
      </c>
      <c r="E144" s="15" t="s">
        <v>5</v>
      </c>
      <c r="F144" s="15" t="s">
        <v>58</v>
      </c>
    </row>
    <row r="145" spans="1:6" x14ac:dyDescent="0.35">
      <c r="A145" s="17">
        <v>46234</v>
      </c>
      <c r="B145" s="15" t="s">
        <v>261</v>
      </c>
      <c r="C145" s="15" t="s">
        <v>260</v>
      </c>
      <c r="D145" s="18">
        <v>2</v>
      </c>
      <c r="E145" s="15" t="s">
        <v>5</v>
      </c>
      <c r="F145" s="15" t="s">
        <v>58</v>
      </c>
    </row>
    <row r="146" spans="1:6" x14ac:dyDescent="0.35">
      <c r="A146" s="19">
        <v>46233</v>
      </c>
      <c r="B146" s="15" t="s">
        <v>77</v>
      </c>
      <c r="C146" s="15" t="s">
        <v>260</v>
      </c>
      <c r="D146" s="18">
        <v>0.5</v>
      </c>
      <c r="E146" s="15" t="s">
        <v>5</v>
      </c>
      <c r="F146" s="15" t="s">
        <v>58</v>
      </c>
    </row>
    <row r="147" spans="1:6" x14ac:dyDescent="0.35">
      <c r="A147" s="17">
        <v>46232</v>
      </c>
      <c r="B147" s="15" t="s">
        <v>265</v>
      </c>
      <c r="C147" s="15" t="s">
        <v>260</v>
      </c>
      <c r="D147" s="18">
        <v>1.5</v>
      </c>
      <c r="E147" s="15" t="s">
        <v>5</v>
      </c>
      <c r="F147" s="15" t="s">
        <v>58</v>
      </c>
    </row>
    <row r="148" spans="1:6" x14ac:dyDescent="0.35">
      <c r="A148" s="19">
        <v>46232</v>
      </c>
      <c r="B148" s="15" t="s">
        <v>77</v>
      </c>
      <c r="C148" s="15" t="s">
        <v>260</v>
      </c>
      <c r="D148" s="18">
        <v>0.5</v>
      </c>
      <c r="E148" s="15" t="s">
        <v>5</v>
      </c>
      <c r="F148" s="15" t="s">
        <v>58</v>
      </c>
    </row>
    <row r="149" spans="1:6" x14ac:dyDescent="0.35">
      <c r="A149" s="17">
        <v>46232</v>
      </c>
      <c r="B149" s="15" t="s">
        <v>262</v>
      </c>
      <c r="C149" s="15" t="s">
        <v>260</v>
      </c>
      <c r="D149" s="18">
        <v>4</v>
      </c>
      <c r="E149" s="15" t="s">
        <v>5</v>
      </c>
      <c r="F149" s="15" t="s">
        <v>58</v>
      </c>
    </row>
    <row r="150" spans="1:6" x14ac:dyDescent="0.35">
      <c r="A150" s="19">
        <v>46232</v>
      </c>
      <c r="B150" s="15" t="s">
        <v>261</v>
      </c>
      <c r="C150" s="15" t="s">
        <v>260</v>
      </c>
      <c r="D150" s="18">
        <v>2</v>
      </c>
      <c r="E150" s="15" t="s">
        <v>5</v>
      </c>
      <c r="F150" s="15" t="s">
        <v>58</v>
      </c>
    </row>
    <row r="151" spans="1:6" x14ac:dyDescent="0.35">
      <c r="A151" s="17">
        <v>46231</v>
      </c>
      <c r="B151" s="15" t="s">
        <v>77</v>
      </c>
      <c r="C151" s="15" t="s">
        <v>260</v>
      </c>
      <c r="D151" s="18">
        <v>0.5</v>
      </c>
      <c r="E151" s="15" t="s">
        <v>5</v>
      </c>
      <c r="F151" s="15" t="s">
        <v>58</v>
      </c>
    </row>
    <row r="152" spans="1:6" x14ac:dyDescent="0.35">
      <c r="A152" s="19">
        <v>46231</v>
      </c>
      <c r="B152" s="15" t="s">
        <v>262</v>
      </c>
      <c r="C152" s="15" t="s">
        <v>260</v>
      </c>
      <c r="D152" s="18">
        <v>3.5</v>
      </c>
      <c r="E152" s="15" t="s">
        <v>5</v>
      </c>
      <c r="F152" s="15" t="s">
        <v>58</v>
      </c>
    </row>
    <row r="153" spans="1:6" x14ac:dyDescent="0.35">
      <c r="A153" s="17">
        <v>46230</v>
      </c>
      <c r="B153" s="15" t="s">
        <v>265</v>
      </c>
      <c r="C153" s="15" t="s">
        <v>260</v>
      </c>
      <c r="D153" s="18">
        <v>1.5</v>
      </c>
      <c r="E153" s="15" t="s">
        <v>5</v>
      </c>
      <c r="F153" s="15" t="s">
        <v>58</v>
      </c>
    </row>
    <row r="154" spans="1:6" x14ac:dyDescent="0.35">
      <c r="A154" s="19">
        <v>46230</v>
      </c>
      <c r="B154" s="15" t="s">
        <v>77</v>
      </c>
      <c r="C154" s="15" t="s">
        <v>260</v>
      </c>
      <c r="D154" s="18">
        <v>0.5</v>
      </c>
      <c r="E154" s="15" t="s">
        <v>5</v>
      </c>
      <c r="F154" s="15" t="s">
        <v>58</v>
      </c>
    </row>
    <row r="155" spans="1:6" x14ac:dyDescent="0.35">
      <c r="A155" s="17">
        <v>46230</v>
      </c>
      <c r="B155" s="15" t="s">
        <v>262</v>
      </c>
      <c r="C155" s="15" t="s">
        <v>260</v>
      </c>
      <c r="D155" s="18">
        <v>1.5</v>
      </c>
      <c r="E155" s="15" t="s">
        <v>5</v>
      </c>
      <c r="F155" s="15" t="s">
        <v>58</v>
      </c>
    </row>
    <row r="156" spans="1:6" x14ac:dyDescent="0.35">
      <c r="A156" s="19">
        <v>46230</v>
      </c>
      <c r="B156" s="15" t="s">
        <v>261</v>
      </c>
      <c r="C156" s="15" t="s">
        <v>260</v>
      </c>
      <c r="D156" s="18">
        <v>2</v>
      </c>
      <c r="E156" s="15" t="s">
        <v>5</v>
      </c>
      <c r="F156" s="15" t="s">
        <v>58</v>
      </c>
    </row>
    <row r="157" spans="1:6" x14ac:dyDescent="0.35">
      <c r="A157" s="17">
        <v>46227</v>
      </c>
      <c r="B157" s="15" t="s">
        <v>262</v>
      </c>
      <c r="C157" s="15" t="s">
        <v>260</v>
      </c>
      <c r="D157" s="18">
        <v>2.5</v>
      </c>
      <c r="E157" s="15" t="s">
        <v>5</v>
      </c>
      <c r="F157" s="15" t="s">
        <v>58</v>
      </c>
    </row>
    <row r="158" spans="1:6" x14ac:dyDescent="0.35">
      <c r="A158" s="19">
        <v>46227</v>
      </c>
      <c r="B158" s="15" t="s">
        <v>77</v>
      </c>
      <c r="C158" s="15" t="s">
        <v>260</v>
      </c>
      <c r="D158" s="18">
        <v>0.5</v>
      </c>
      <c r="E158" s="15" t="s">
        <v>5</v>
      </c>
      <c r="F158" s="15" t="s">
        <v>58</v>
      </c>
    </row>
    <row r="159" spans="1:6" x14ac:dyDescent="0.35">
      <c r="A159" s="17">
        <v>46226</v>
      </c>
      <c r="B159" s="15" t="s">
        <v>262</v>
      </c>
      <c r="C159" s="15" t="s">
        <v>260</v>
      </c>
      <c r="D159" s="18">
        <v>2</v>
      </c>
      <c r="E159" s="15" t="s">
        <v>5</v>
      </c>
      <c r="F159" s="15" t="s">
        <v>58</v>
      </c>
    </row>
    <row r="160" spans="1:6" x14ac:dyDescent="0.35">
      <c r="A160" s="19">
        <v>46226</v>
      </c>
      <c r="B160" s="15" t="s">
        <v>77</v>
      </c>
      <c r="C160" s="15" t="s">
        <v>260</v>
      </c>
      <c r="D160" s="18">
        <v>0.5</v>
      </c>
      <c r="E160" s="15" t="s">
        <v>5</v>
      </c>
      <c r="F160" s="15" t="s">
        <v>58</v>
      </c>
    </row>
    <row r="161" spans="1:6" x14ac:dyDescent="0.35">
      <c r="A161" s="17">
        <v>46225</v>
      </c>
      <c r="B161" s="15" t="s">
        <v>262</v>
      </c>
      <c r="C161" s="15" t="s">
        <v>260</v>
      </c>
      <c r="D161" s="18">
        <v>3</v>
      </c>
      <c r="E161" s="15" t="s">
        <v>5</v>
      </c>
      <c r="F161" s="15" t="s">
        <v>58</v>
      </c>
    </row>
    <row r="162" spans="1:6" x14ac:dyDescent="0.35">
      <c r="A162" s="19">
        <v>46225</v>
      </c>
      <c r="B162" s="15" t="s">
        <v>77</v>
      </c>
      <c r="C162" s="15" t="s">
        <v>260</v>
      </c>
      <c r="D162" s="18">
        <v>0.5</v>
      </c>
      <c r="E162" s="15" t="s">
        <v>5</v>
      </c>
      <c r="F162" s="15" t="s">
        <v>58</v>
      </c>
    </row>
    <row r="163" spans="1:6" x14ac:dyDescent="0.35">
      <c r="A163" s="17">
        <v>46224</v>
      </c>
      <c r="B163" s="15" t="s">
        <v>261</v>
      </c>
      <c r="C163" s="15" t="s">
        <v>260</v>
      </c>
      <c r="D163" s="18">
        <v>2</v>
      </c>
      <c r="E163" s="15" t="s">
        <v>5</v>
      </c>
      <c r="F163" s="15" t="s">
        <v>58</v>
      </c>
    </row>
    <row r="164" spans="1:6" x14ac:dyDescent="0.35">
      <c r="A164" s="19">
        <v>46224</v>
      </c>
      <c r="B164" s="15" t="s">
        <v>77</v>
      </c>
      <c r="C164" s="15" t="s">
        <v>260</v>
      </c>
      <c r="D164" s="18">
        <v>0.5</v>
      </c>
      <c r="E164" s="15" t="s">
        <v>5</v>
      </c>
      <c r="F164" s="15" t="s">
        <v>58</v>
      </c>
    </row>
    <row r="165" spans="1:6" x14ac:dyDescent="0.35">
      <c r="A165" s="17">
        <v>46223</v>
      </c>
      <c r="B165" s="15" t="s">
        <v>77</v>
      </c>
      <c r="C165" s="15" t="s">
        <v>260</v>
      </c>
      <c r="D165" s="18">
        <v>0.5</v>
      </c>
      <c r="E165" s="15" t="s">
        <v>5</v>
      </c>
      <c r="F165" s="15" t="s">
        <v>58</v>
      </c>
    </row>
    <row r="166" spans="1:6" x14ac:dyDescent="0.35">
      <c r="A166" s="19">
        <v>46220</v>
      </c>
      <c r="B166" s="15" t="s">
        <v>77</v>
      </c>
      <c r="C166" s="15" t="s">
        <v>260</v>
      </c>
      <c r="D166" s="18">
        <v>0.5</v>
      </c>
      <c r="E166" s="15" t="s">
        <v>5</v>
      </c>
      <c r="F166" s="15" t="s">
        <v>58</v>
      </c>
    </row>
    <row r="167" spans="1:6" x14ac:dyDescent="0.35">
      <c r="A167" s="17">
        <v>46220</v>
      </c>
      <c r="B167" s="15" t="s">
        <v>262</v>
      </c>
      <c r="C167" s="15" t="s">
        <v>260</v>
      </c>
      <c r="D167" s="18">
        <v>4</v>
      </c>
      <c r="E167" s="15" t="s">
        <v>5</v>
      </c>
      <c r="F167" s="15" t="s">
        <v>58</v>
      </c>
    </row>
    <row r="168" spans="1:6" x14ac:dyDescent="0.35">
      <c r="A168" s="19">
        <v>46219</v>
      </c>
      <c r="B168" s="15" t="s">
        <v>77</v>
      </c>
      <c r="C168" s="15" t="s">
        <v>260</v>
      </c>
      <c r="D168" s="18">
        <v>0.5</v>
      </c>
      <c r="E168" s="15" t="s">
        <v>5</v>
      </c>
      <c r="F168" s="15" t="s">
        <v>58</v>
      </c>
    </row>
    <row r="169" spans="1:6" x14ac:dyDescent="0.35">
      <c r="A169" s="17">
        <v>46219</v>
      </c>
      <c r="B169" s="15" t="s">
        <v>262</v>
      </c>
      <c r="C169" s="15" t="s">
        <v>260</v>
      </c>
      <c r="D169" s="18">
        <v>4</v>
      </c>
      <c r="E169" s="15" t="s">
        <v>5</v>
      </c>
      <c r="F169" s="15" t="s">
        <v>58</v>
      </c>
    </row>
    <row r="170" spans="1:6" x14ac:dyDescent="0.35">
      <c r="A170" s="19">
        <v>46218</v>
      </c>
      <c r="B170" s="15" t="s">
        <v>77</v>
      </c>
      <c r="C170" s="15" t="s">
        <v>260</v>
      </c>
      <c r="D170" s="18">
        <v>0.5</v>
      </c>
      <c r="E170" s="15" t="s">
        <v>5</v>
      </c>
      <c r="F170" s="15" t="s">
        <v>58</v>
      </c>
    </row>
    <row r="171" spans="1:6" x14ac:dyDescent="0.35">
      <c r="A171" s="17">
        <v>46217</v>
      </c>
      <c r="B171" s="15" t="s">
        <v>261</v>
      </c>
      <c r="C171" s="15" t="s">
        <v>260</v>
      </c>
      <c r="D171" s="18">
        <v>2</v>
      </c>
      <c r="E171" s="15" t="s">
        <v>5</v>
      </c>
      <c r="F171" s="15" t="s">
        <v>58</v>
      </c>
    </row>
    <row r="172" spans="1:6" x14ac:dyDescent="0.35">
      <c r="A172" s="19">
        <v>46217</v>
      </c>
      <c r="B172" s="15" t="s">
        <v>77</v>
      </c>
      <c r="C172" s="15" t="s">
        <v>260</v>
      </c>
      <c r="D172" s="18">
        <v>0.5</v>
      </c>
      <c r="E172" s="15" t="s">
        <v>5</v>
      </c>
      <c r="F172" s="15" t="s">
        <v>58</v>
      </c>
    </row>
    <row r="173" spans="1:6" x14ac:dyDescent="0.35">
      <c r="A173" s="17">
        <v>46217</v>
      </c>
      <c r="B173" s="15" t="s">
        <v>262</v>
      </c>
      <c r="C173" s="15" t="s">
        <v>260</v>
      </c>
      <c r="D173" s="18">
        <v>2</v>
      </c>
      <c r="E173" s="15" t="s">
        <v>5</v>
      </c>
      <c r="F173" s="15" t="s">
        <v>58</v>
      </c>
    </row>
    <row r="174" spans="1:6" x14ac:dyDescent="0.35">
      <c r="A174" s="19">
        <v>46213</v>
      </c>
      <c r="B174" s="15" t="s">
        <v>77</v>
      </c>
      <c r="C174" s="15" t="s">
        <v>260</v>
      </c>
      <c r="D174" s="18">
        <v>0.5</v>
      </c>
      <c r="E174" s="15" t="s">
        <v>5</v>
      </c>
      <c r="F174" s="15" t="s">
        <v>58</v>
      </c>
    </row>
    <row r="175" spans="1:6" x14ac:dyDescent="0.35">
      <c r="A175" s="17">
        <v>46212</v>
      </c>
      <c r="B175" s="15" t="s">
        <v>77</v>
      </c>
      <c r="C175" s="15" t="s">
        <v>260</v>
      </c>
      <c r="D175" s="18">
        <v>0.5</v>
      </c>
      <c r="E175" s="15" t="s">
        <v>5</v>
      </c>
      <c r="F175" s="15" t="s">
        <v>58</v>
      </c>
    </row>
    <row r="176" spans="1:6" x14ac:dyDescent="0.35">
      <c r="A176" s="19">
        <v>46211</v>
      </c>
      <c r="B176" s="15" t="s">
        <v>262</v>
      </c>
      <c r="C176" s="15" t="s">
        <v>260</v>
      </c>
      <c r="D176" s="18">
        <v>1</v>
      </c>
      <c r="E176" s="15" t="s">
        <v>5</v>
      </c>
      <c r="F176" s="15" t="s">
        <v>58</v>
      </c>
    </row>
    <row r="177" spans="1:6" x14ac:dyDescent="0.35">
      <c r="A177" s="17">
        <v>46211</v>
      </c>
      <c r="B177" s="15" t="s">
        <v>77</v>
      </c>
      <c r="C177" s="15" t="s">
        <v>260</v>
      </c>
      <c r="D177" s="18">
        <v>0.5</v>
      </c>
      <c r="E177" s="15" t="s">
        <v>5</v>
      </c>
      <c r="F177" s="15" t="s">
        <v>58</v>
      </c>
    </row>
    <row r="178" spans="1:6" x14ac:dyDescent="0.35">
      <c r="A178" s="19">
        <v>46210</v>
      </c>
      <c r="B178" s="15" t="s">
        <v>262</v>
      </c>
      <c r="C178" s="15" t="s">
        <v>260</v>
      </c>
      <c r="D178" s="18">
        <v>3.5</v>
      </c>
      <c r="E178" s="15" t="s">
        <v>5</v>
      </c>
      <c r="F178" s="15" t="s">
        <v>58</v>
      </c>
    </row>
    <row r="179" spans="1:6" x14ac:dyDescent="0.35">
      <c r="A179" s="17">
        <v>46210</v>
      </c>
      <c r="B179" s="15" t="s">
        <v>77</v>
      </c>
      <c r="C179" s="15" t="s">
        <v>260</v>
      </c>
      <c r="D179" s="18">
        <v>0.5</v>
      </c>
      <c r="E179" s="15" t="s">
        <v>5</v>
      </c>
      <c r="F179" s="15" t="s">
        <v>58</v>
      </c>
    </row>
    <row r="180" spans="1:6" x14ac:dyDescent="0.35">
      <c r="A180" s="19">
        <v>46209</v>
      </c>
      <c r="B180" s="15" t="s">
        <v>261</v>
      </c>
      <c r="C180" s="15" t="s">
        <v>260</v>
      </c>
      <c r="D180" s="18">
        <v>3</v>
      </c>
      <c r="E180" s="15" t="s">
        <v>5</v>
      </c>
      <c r="F180" s="15" t="s">
        <v>58</v>
      </c>
    </row>
    <row r="181" spans="1:6" x14ac:dyDescent="0.35">
      <c r="A181" s="17">
        <v>46209</v>
      </c>
      <c r="B181" s="15" t="s">
        <v>77</v>
      </c>
      <c r="C181" s="15" t="s">
        <v>260</v>
      </c>
      <c r="D181" s="18">
        <v>0.5</v>
      </c>
      <c r="E181" s="15" t="s">
        <v>5</v>
      </c>
      <c r="F181" s="15" t="s">
        <v>58</v>
      </c>
    </row>
    <row r="182" spans="1:6" x14ac:dyDescent="0.35">
      <c r="A182" s="19">
        <v>46206</v>
      </c>
      <c r="B182" s="15" t="s">
        <v>122</v>
      </c>
      <c r="C182" s="15" t="s">
        <v>260</v>
      </c>
      <c r="D182" s="18">
        <v>3</v>
      </c>
      <c r="E182" s="15" t="s">
        <v>5</v>
      </c>
      <c r="F182" s="15" t="s">
        <v>58</v>
      </c>
    </row>
    <row r="183" spans="1:6" x14ac:dyDescent="0.35">
      <c r="A183" s="17">
        <v>46206</v>
      </c>
      <c r="B183" s="15" t="s">
        <v>266</v>
      </c>
      <c r="C183" s="15" t="s">
        <v>260</v>
      </c>
      <c r="D183" s="18">
        <v>4</v>
      </c>
      <c r="E183" s="15" t="s">
        <v>5</v>
      </c>
      <c r="F183" s="15" t="s">
        <v>58</v>
      </c>
    </row>
    <row r="184" spans="1:6" x14ac:dyDescent="0.35">
      <c r="A184" s="19">
        <v>46206</v>
      </c>
      <c r="B184" s="15" t="s">
        <v>77</v>
      </c>
      <c r="C184" s="15" t="s">
        <v>260</v>
      </c>
      <c r="D184" s="18">
        <v>0.5</v>
      </c>
      <c r="E184" s="15" t="s">
        <v>5</v>
      </c>
      <c r="F184" s="15" t="s">
        <v>58</v>
      </c>
    </row>
    <row r="185" spans="1:6" x14ac:dyDescent="0.35">
      <c r="A185" s="17">
        <v>46205</v>
      </c>
      <c r="B185" s="15" t="s">
        <v>122</v>
      </c>
      <c r="C185" s="15" t="s">
        <v>260</v>
      </c>
      <c r="D185" s="18">
        <v>7</v>
      </c>
      <c r="E185" s="15" t="s">
        <v>5</v>
      </c>
      <c r="F185" s="15" t="s">
        <v>58</v>
      </c>
    </row>
    <row r="186" spans="1:6" x14ac:dyDescent="0.35">
      <c r="A186" s="19">
        <v>46205</v>
      </c>
      <c r="B186" s="15" t="s">
        <v>266</v>
      </c>
      <c r="C186" s="15" t="s">
        <v>260</v>
      </c>
      <c r="D186" s="18">
        <v>5</v>
      </c>
      <c r="E186" s="15" t="s">
        <v>5</v>
      </c>
      <c r="F186" s="15" t="s">
        <v>58</v>
      </c>
    </row>
    <row r="187" spans="1:6" x14ac:dyDescent="0.35">
      <c r="A187" s="17">
        <v>46205</v>
      </c>
      <c r="B187" s="15" t="s">
        <v>77</v>
      </c>
      <c r="C187" s="15" t="s">
        <v>260</v>
      </c>
      <c r="D187" s="18">
        <v>0.5</v>
      </c>
      <c r="E187" s="15" t="s">
        <v>5</v>
      </c>
      <c r="F187" s="15" t="s">
        <v>58</v>
      </c>
    </row>
    <row r="188" spans="1:6" x14ac:dyDescent="0.35">
      <c r="A188" s="19">
        <v>46204</v>
      </c>
      <c r="B188" s="15" t="s">
        <v>122</v>
      </c>
      <c r="C188" s="15" t="s">
        <v>260</v>
      </c>
      <c r="D188" s="18">
        <v>7</v>
      </c>
      <c r="E188" s="15" t="s">
        <v>5</v>
      </c>
      <c r="F188" s="15" t="s">
        <v>58</v>
      </c>
    </row>
    <row r="189" spans="1:6" x14ac:dyDescent="0.35">
      <c r="A189" s="17">
        <v>46204</v>
      </c>
      <c r="B189" s="15" t="s">
        <v>261</v>
      </c>
      <c r="C189" s="15" t="s">
        <v>260</v>
      </c>
      <c r="D189" s="18">
        <v>3</v>
      </c>
      <c r="E189" s="15" t="s">
        <v>5</v>
      </c>
      <c r="F189" s="15" t="s">
        <v>58</v>
      </c>
    </row>
    <row r="190" spans="1:6" x14ac:dyDescent="0.35">
      <c r="A190" s="19">
        <v>46204</v>
      </c>
      <c r="B190" s="15" t="s">
        <v>266</v>
      </c>
      <c r="C190" s="15" t="s">
        <v>260</v>
      </c>
      <c r="D190" s="18">
        <v>3</v>
      </c>
      <c r="E190" s="15" t="s">
        <v>5</v>
      </c>
      <c r="F190" s="15" t="s">
        <v>58</v>
      </c>
    </row>
    <row r="191" spans="1:6" x14ac:dyDescent="0.35">
      <c r="A191" s="17">
        <v>46204</v>
      </c>
      <c r="B191" s="15" t="s">
        <v>77</v>
      </c>
      <c r="C191" s="15" t="s">
        <v>260</v>
      </c>
      <c r="D191" s="18">
        <v>0.5</v>
      </c>
      <c r="E191" s="15" t="s">
        <v>5</v>
      </c>
      <c r="F191" s="15" t="s">
        <v>58</v>
      </c>
    </row>
    <row r="192" spans="1:6" x14ac:dyDescent="0.35">
      <c r="A192" s="23">
        <v>46203</v>
      </c>
      <c r="B192" s="15" t="s">
        <v>122</v>
      </c>
      <c r="C192" s="15" t="s">
        <v>260</v>
      </c>
      <c r="D192" s="18">
        <v>7</v>
      </c>
      <c r="E192" s="15"/>
      <c r="F192" s="15" t="s">
        <v>19</v>
      </c>
    </row>
    <row r="193" spans="1:6" x14ac:dyDescent="0.35">
      <c r="A193" s="23">
        <v>46203</v>
      </c>
      <c r="B193" s="15" t="s">
        <v>266</v>
      </c>
      <c r="C193" s="15" t="s">
        <v>260</v>
      </c>
      <c r="D193" s="18">
        <v>7</v>
      </c>
      <c r="E193" s="15"/>
      <c r="F193" s="15" t="s">
        <v>19</v>
      </c>
    </row>
    <row r="194" spans="1:6" x14ac:dyDescent="0.35">
      <c r="A194" s="23">
        <v>46199</v>
      </c>
      <c r="B194" s="15" t="s">
        <v>77</v>
      </c>
      <c r="C194" s="15" t="s">
        <v>260</v>
      </c>
      <c r="D194" s="18">
        <v>0.5</v>
      </c>
      <c r="E194" s="15"/>
      <c r="F194" s="15" t="s">
        <v>19</v>
      </c>
    </row>
    <row r="195" spans="1:6" x14ac:dyDescent="0.35">
      <c r="A195" s="23">
        <v>46199</v>
      </c>
      <c r="B195" s="15" t="s">
        <v>122</v>
      </c>
      <c r="C195" s="15" t="s">
        <v>260</v>
      </c>
      <c r="D195" s="18">
        <v>3</v>
      </c>
      <c r="E195" s="15"/>
      <c r="F195" s="15" t="s">
        <v>19</v>
      </c>
    </row>
    <row r="196" spans="1:6" x14ac:dyDescent="0.35">
      <c r="A196" s="23">
        <v>46199</v>
      </c>
      <c r="B196" s="15" t="s">
        <v>262</v>
      </c>
      <c r="C196" s="15" t="s">
        <v>260</v>
      </c>
      <c r="D196" s="18">
        <v>2</v>
      </c>
      <c r="E196" s="15"/>
      <c r="F196" s="15" t="s">
        <v>19</v>
      </c>
    </row>
    <row r="197" spans="1:6" x14ac:dyDescent="0.35">
      <c r="A197" s="23">
        <v>46198</v>
      </c>
      <c r="B197" s="15" t="s">
        <v>77</v>
      </c>
      <c r="C197" s="15" t="s">
        <v>260</v>
      </c>
      <c r="D197" s="18">
        <v>0.5</v>
      </c>
      <c r="E197" s="15"/>
      <c r="F197" s="15" t="s">
        <v>19</v>
      </c>
    </row>
    <row r="198" spans="1:6" x14ac:dyDescent="0.35">
      <c r="A198" s="23">
        <v>46198</v>
      </c>
      <c r="B198" s="15" t="s">
        <v>261</v>
      </c>
      <c r="C198" s="15" t="s">
        <v>260</v>
      </c>
      <c r="D198" s="18">
        <v>2</v>
      </c>
      <c r="E198" s="15"/>
      <c r="F198" s="15" t="s">
        <v>19</v>
      </c>
    </row>
    <row r="199" spans="1:6" x14ac:dyDescent="0.35">
      <c r="A199" s="23">
        <v>46198</v>
      </c>
      <c r="B199" s="15" t="s">
        <v>122</v>
      </c>
      <c r="C199" s="15" t="s">
        <v>260</v>
      </c>
      <c r="D199" s="18">
        <v>7.5</v>
      </c>
      <c r="E199" s="15"/>
      <c r="F199" s="15" t="s">
        <v>19</v>
      </c>
    </row>
    <row r="200" spans="1:6" x14ac:dyDescent="0.35">
      <c r="A200" s="23">
        <v>46198</v>
      </c>
      <c r="B200" s="15" t="s">
        <v>266</v>
      </c>
      <c r="C200" s="15" t="s">
        <v>260</v>
      </c>
      <c r="D200" s="18">
        <v>4</v>
      </c>
      <c r="E200" s="15"/>
      <c r="F200" s="15" t="s">
        <v>19</v>
      </c>
    </row>
    <row r="201" spans="1:6" x14ac:dyDescent="0.35">
      <c r="A201" s="23">
        <v>46198</v>
      </c>
      <c r="B201" s="15" t="s">
        <v>262</v>
      </c>
      <c r="C201" s="15" t="s">
        <v>260</v>
      </c>
      <c r="D201" s="18">
        <v>4</v>
      </c>
      <c r="E201" s="15"/>
      <c r="F201" s="15" t="s">
        <v>19</v>
      </c>
    </row>
    <row r="202" spans="1:6" x14ac:dyDescent="0.35">
      <c r="A202" s="23">
        <v>46198</v>
      </c>
      <c r="B202" s="15" t="s">
        <v>107</v>
      </c>
      <c r="C202" s="15" t="s">
        <v>260</v>
      </c>
      <c r="D202" s="18">
        <v>2</v>
      </c>
      <c r="E202" s="15"/>
      <c r="F202" s="15" t="s">
        <v>19</v>
      </c>
    </row>
    <row r="203" spans="1:6" x14ac:dyDescent="0.35">
      <c r="A203" s="23">
        <v>46197</v>
      </c>
      <c r="B203" s="15" t="s">
        <v>77</v>
      </c>
      <c r="C203" s="15" t="s">
        <v>260</v>
      </c>
      <c r="D203" s="18">
        <v>0.5</v>
      </c>
      <c r="E203" s="15"/>
      <c r="F203" s="15" t="s">
        <v>19</v>
      </c>
    </row>
    <row r="204" spans="1:6" x14ac:dyDescent="0.35">
      <c r="A204" s="23">
        <v>46197</v>
      </c>
      <c r="B204" s="15" t="s">
        <v>266</v>
      </c>
      <c r="C204" s="15" t="s">
        <v>260</v>
      </c>
      <c r="D204" s="18">
        <v>2</v>
      </c>
      <c r="E204" s="15"/>
      <c r="F204" s="15" t="s">
        <v>19</v>
      </c>
    </row>
    <row r="205" spans="1:6" x14ac:dyDescent="0.35">
      <c r="A205" s="23">
        <v>46197</v>
      </c>
      <c r="B205" s="15" t="s">
        <v>262</v>
      </c>
      <c r="C205" s="15" t="s">
        <v>260</v>
      </c>
      <c r="D205" s="18">
        <v>2</v>
      </c>
      <c r="E205" s="15"/>
      <c r="F205" s="15" t="s">
        <v>19</v>
      </c>
    </row>
    <row r="206" spans="1:6" x14ac:dyDescent="0.35">
      <c r="A206" s="23">
        <v>46196</v>
      </c>
      <c r="B206" s="15" t="s">
        <v>77</v>
      </c>
      <c r="C206" s="15" t="s">
        <v>260</v>
      </c>
      <c r="D206" s="18">
        <v>0.5</v>
      </c>
      <c r="E206" s="15"/>
      <c r="F206" s="15" t="s">
        <v>19</v>
      </c>
    </row>
    <row r="207" spans="1:6" x14ac:dyDescent="0.35">
      <c r="A207" s="23">
        <v>46196</v>
      </c>
      <c r="B207" s="15" t="s">
        <v>262</v>
      </c>
      <c r="C207" s="15" t="s">
        <v>260</v>
      </c>
      <c r="D207" s="18">
        <v>2</v>
      </c>
      <c r="E207" s="15"/>
      <c r="F207" s="15" t="s">
        <v>19</v>
      </c>
    </row>
    <row r="208" spans="1:6" x14ac:dyDescent="0.35">
      <c r="A208" s="23">
        <v>46195</v>
      </c>
      <c r="B208" s="15" t="s">
        <v>77</v>
      </c>
      <c r="C208" s="15" t="s">
        <v>260</v>
      </c>
      <c r="D208" s="18">
        <v>0.5</v>
      </c>
      <c r="E208" s="15"/>
      <c r="F208" s="15" t="s">
        <v>19</v>
      </c>
    </row>
    <row r="209" spans="1:6" x14ac:dyDescent="0.35">
      <c r="A209" s="23">
        <v>46195</v>
      </c>
      <c r="B209" s="15" t="s">
        <v>262</v>
      </c>
      <c r="C209" s="15" t="s">
        <v>260</v>
      </c>
      <c r="D209" s="18">
        <v>2</v>
      </c>
      <c r="E209" s="15"/>
      <c r="F209" s="15" t="s">
        <v>19</v>
      </c>
    </row>
    <row r="210" spans="1:6" x14ac:dyDescent="0.35">
      <c r="A210" s="23">
        <v>46192</v>
      </c>
      <c r="B210" s="15" t="s">
        <v>107</v>
      </c>
      <c r="C210" s="15" t="s">
        <v>260</v>
      </c>
      <c r="D210" s="18">
        <v>2</v>
      </c>
      <c r="E210" s="15"/>
      <c r="F210" s="15" t="s">
        <v>19</v>
      </c>
    </row>
    <row r="211" spans="1:6" x14ac:dyDescent="0.35">
      <c r="A211" s="23">
        <v>46192</v>
      </c>
      <c r="B211" s="15" t="s">
        <v>261</v>
      </c>
      <c r="C211" s="15" t="s">
        <v>260</v>
      </c>
      <c r="D211" s="18">
        <v>2</v>
      </c>
      <c r="E211" s="15"/>
      <c r="F211" s="15" t="s">
        <v>19</v>
      </c>
    </row>
    <row r="212" spans="1:6" x14ac:dyDescent="0.35">
      <c r="A212" s="23">
        <v>46192</v>
      </c>
      <c r="B212" s="15" t="s">
        <v>77</v>
      </c>
      <c r="C212" s="15" t="s">
        <v>260</v>
      </c>
      <c r="D212" s="18">
        <v>0.5</v>
      </c>
      <c r="E212" s="15"/>
      <c r="F212" s="15" t="s">
        <v>19</v>
      </c>
    </row>
    <row r="213" spans="1:6" x14ac:dyDescent="0.35">
      <c r="A213" s="23">
        <v>46192</v>
      </c>
      <c r="B213" s="15" t="s">
        <v>262</v>
      </c>
      <c r="C213" s="15" t="s">
        <v>260</v>
      </c>
      <c r="D213" s="18">
        <v>1</v>
      </c>
      <c r="E213" s="15"/>
      <c r="F213" s="15" t="s">
        <v>19</v>
      </c>
    </row>
    <row r="214" spans="1:6" x14ac:dyDescent="0.35">
      <c r="A214" s="23">
        <v>46191</v>
      </c>
      <c r="B214" s="15" t="s">
        <v>107</v>
      </c>
      <c r="C214" s="15" t="s">
        <v>260</v>
      </c>
      <c r="D214" s="18">
        <v>2</v>
      </c>
      <c r="E214" s="15"/>
      <c r="F214" s="15" t="s">
        <v>19</v>
      </c>
    </row>
    <row r="215" spans="1:6" x14ac:dyDescent="0.35">
      <c r="A215" s="23">
        <v>46191</v>
      </c>
      <c r="B215" s="15" t="s">
        <v>77</v>
      </c>
      <c r="C215" s="15" t="s">
        <v>260</v>
      </c>
      <c r="D215" s="18">
        <v>0.5</v>
      </c>
      <c r="E215" s="15"/>
      <c r="F215" s="15" t="s">
        <v>19</v>
      </c>
    </row>
    <row r="216" spans="1:6" x14ac:dyDescent="0.35">
      <c r="A216" s="23">
        <v>46191</v>
      </c>
      <c r="B216" s="15" t="s">
        <v>262</v>
      </c>
      <c r="C216" s="15" t="s">
        <v>260</v>
      </c>
      <c r="D216" s="18">
        <v>1</v>
      </c>
      <c r="E216" s="15"/>
      <c r="F216" s="15" t="s">
        <v>19</v>
      </c>
    </row>
    <row r="217" spans="1:6" x14ac:dyDescent="0.35">
      <c r="A217" s="23">
        <v>46190</v>
      </c>
      <c r="B217" s="15" t="s">
        <v>77</v>
      </c>
      <c r="C217" s="15" t="s">
        <v>260</v>
      </c>
      <c r="D217" s="18">
        <v>0.5</v>
      </c>
      <c r="E217" s="15"/>
      <c r="F217" s="15" t="s">
        <v>19</v>
      </c>
    </row>
    <row r="218" spans="1:6" x14ac:dyDescent="0.35">
      <c r="A218" s="23">
        <v>46190</v>
      </c>
      <c r="B218" s="15" t="s">
        <v>262</v>
      </c>
      <c r="C218" s="15" t="s">
        <v>260</v>
      </c>
      <c r="D218" s="18">
        <v>2</v>
      </c>
      <c r="E218" s="15"/>
      <c r="F218" s="15" t="s">
        <v>19</v>
      </c>
    </row>
    <row r="219" spans="1:6" x14ac:dyDescent="0.35">
      <c r="A219" s="23">
        <v>46189</v>
      </c>
      <c r="B219" s="15" t="s">
        <v>77</v>
      </c>
      <c r="C219" s="15" t="s">
        <v>260</v>
      </c>
      <c r="D219" s="18">
        <v>0.5</v>
      </c>
      <c r="E219" s="15"/>
      <c r="F219" s="15" t="s">
        <v>19</v>
      </c>
    </row>
    <row r="220" spans="1:6" x14ac:dyDescent="0.35">
      <c r="A220" s="23">
        <v>46189</v>
      </c>
      <c r="B220" s="15" t="s">
        <v>262</v>
      </c>
      <c r="C220" s="15" t="s">
        <v>260</v>
      </c>
      <c r="D220" s="18">
        <v>3</v>
      </c>
      <c r="E220" s="15"/>
      <c r="F220" s="15" t="s">
        <v>19</v>
      </c>
    </row>
    <row r="221" spans="1:6" x14ac:dyDescent="0.35">
      <c r="A221" s="23">
        <v>46185</v>
      </c>
      <c r="B221" s="15" t="s">
        <v>261</v>
      </c>
      <c r="C221" s="15" t="s">
        <v>260</v>
      </c>
      <c r="D221" s="18">
        <v>2</v>
      </c>
      <c r="E221" s="15"/>
      <c r="F221" s="15" t="s">
        <v>19</v>
      </c>
    </row>
    <row r="222" spans="1:6" x14ac:dyDescent="0.35">
      <c r="A222" s="23">
        <v>46185</v>
      </c>
      <c r="B222" s="15" t="s">
        <v>77</v>
      </c>
      <c r="C222" s="15" t="s">
        <v>260</v>
      </c>
      <c r="D222" s="18">
        <v>0.5</v>
      </c>
      <c r="E222" s="15"/>
      <c r="F222" s="15" t="s">
        <v>19</v>
      </c>
    </row>
    <row r="223" spans="1:6" x14ac:dyDescent="0.35">
      <c r="A223" s="23">
        <v>46185</v>
      </c>
      <c r="B223" s="15" t="s">
        <v>262</v>
      </c>
      <c r="C223" s="15" t="s">
        <v>260</v>
      </c>
      <c r="D223" s="18">
        <v>2</v>
      </c>
      <c r="E223" s="15"/>
      <c r="F223" s="15" t="s">
        <v>19</v>
      </c>
    </row>
    <row r="224" spans="1:6" x14ac:dyDescent="0.35">
      <c r="A224" s="23">
        <v>46184</v>
      </c>
      <c r="B224" s="15" t="s">
        <v>77</v>
      </c>
      <c r="C224" s="15" t="s">
        <v>260</v>
      </c>
      <c r="D224" s="18">
        <v>0.5</v>
      </c>
      <c r="E224" s="15"/>
      <c r="F224" s="15" t="s">
        <v>19</v>
      </c>
    </row>
    <row r="225" spans="1:6" x14ac:dyDescent="0.35">
      <c r="A225" s="23">
        <v>46184</v>
      </c>
      <c r="B225" s="15" t="s">
        <v>262</v>
      </c>
      <c r="C225" s="15" t="s">
        <v>260</v>
      </c>
      <c r="D225" s="18">
        <v>4</v>
      </c>
      <c r="E225" s="15"/>
      <c r="F225" s="15" t="s">
        <v>19</v>
      </c>
    </row>
    <row r="226" spans="1:6" x14ac:dyDescent="0.35">
      <c r="A226" s="23">
        <v>46183</v>
      </c>
      <c r="B226" s="15" t="s">
        <v>77</v>
      </c>
      <c r="C226" s="15" t="s">
        <v>260</v>
      </c>
      <c r="D226" s="18">
        <v>0.5</v>
      </c>
      <c r="E226" s="15"/>
      <c r="F226" s="15" t="s">
        <v>19</v>
      </c>
    </row>
    <row r="227" spans="1:6" x14ac:dyDescent="0.35">
      <c r="A227" s="23">
        <v>46183</v>
      </c>
      <c r="B227" s="15" t="s">
        <v>262</v>
      </c>
      <c r="C227" s="15" t="s">
        <v>260</v>
      </c>
      <c r="D227" s="18">
        <v>3</v>
      </c>
      <c r="E227" s="15"/>
      <c r="F227" s="15" t="s">
        <v>19</v>
      </c>
    </row>
    <row r="228" spans="1:6" x14ac:dyDescent="0.35">
      <c r="A228" s="23">
        <v>46183</v>
      </c>
      <c r="B228" s="15" t="s">
        <v>107</v>
      </c>
      <c r="C228" s="15" t="s">
        <v>260</v>
      </c>
      <c r="D228" s="18">
        <v>2</v>
      </c>
      <c r="E228" s="15"/>
      <c r="F228" s="15" t="s">
        <v>19</v>
      </c>
    </row>
    <row r="229" spans="1:6" x14ac:dyDescent="0.35">
      <c r="A229" s="23">
        <v>46182</v>
      </c>
      <c r="B229" s="15" t="s">
        <v>77</v>
      </c>
      <c r="C229" s="15" t="s">
        <v>260</v>
      </c>
      <c r="D229" s="18">
        <v>0.5</v>
      </c>
      <c r="E229" s="15"/>
      <c r="F229" s="15" t="s">
        <v>19</v>
      </c>
    </row>
    <row r="230" spans="1:6" x14ac:dyDescent="0.35">
      <c r="A230" s="23">
        <v>46182</v>
      </c>
      <c r="B230" s="15" t="s">
        <v>262</v>
      </c>
      <c r="C230" s="15" t="s">
        <v>260</v>
      </c>
      <c r="D230" s="18">
        <v>6</v>
      </c>
      <c r="E230" s="15"/>
      <c r="F230" s="15" t="s">
        <v>19</v>
      </c>
    </row>
    <row r="231" spans="1:6" x14ac:dyDescent="0.35">
      <c r="A231" s="23">
        <v>46178</v>
      </c>
      <c r="B231" s="15" t="s">
        <v>261</v>
      </c>
      <c r="C231" s="15" t="s">
        <v>260</v>
      </c>
      <c r="D231" s="18">
        <v>2</v>
      </c>
      <c r="E231" s="15"/>
      <c r="F231" s="15" t="s">
        <v>19</v>
      </c>
    </row>
    <row r="232" spans="1:6" x14ac:dyDescent="0.35">
      <c r="A232" s="23">
        <v>46178</v>
      </c>
      <c r="B232" s="15" t="s">
        <v>77</v>
      </c>
      <c r="C232" s="15" t="s">
        <v>260</v>
      </c>
      <c r="D232" s="18">
        <v>0.5</v>
      </c>
      <c r="E232" s="15"/>
      <c r="F232" s="15" t="s">
        <v>19</v>
      </c>
    </row>
    <row r="233" spans="1:6" x14ac:dyDescent="0.35">
      <c r="A233" s="23">
        <v>46178</v>
      </c>
      <c r="B233" s="15" t="s">
        <v>262</v>
      </c>
      <c r="C233" s="15" t="s">
        <v>260</v>
      </c>
      <c r="D233" s="18">
        <v>4</v>
      </c>
      <c r="E233" s="15"/>
      <c r="F233" s="15" t="s">
        <v>19</v>
      </c>
    </row>
    <row r="234" spans="1:6" x14ac:dyDescent="0.35">
      <c r="A234" s="23">
        <v>46177</v>
      </c>
      <c r="B234" s="15" t="s">
        <v>77</v>
      </c>
      <c r="C234" s="15" t="s">
        <v>260</v>
      </c>
      <c r="D234" s="18">
        <v>0.5</v>
      </c>
      <c r="E234" s="15"/>
      <c r="F234" s="15" t="s">
        <v>19</v>
      </c>
    </row>
    <row r="235" spans="1:6" x14ac:dyDescent="0.35">
      <c r="A235" s="23">
        <v>46177</v>
      </c>
      <c r="B235" s="15" t="s">
        <v>262</v>
      </c>
      <c r="C235" s="15" t="s">
        <v>260</v>
      </c>
      <c r="D235" s="18">
        <v>2</v>
      </c>
      <c r="E235" s="15"/>
      <c r="F235" s="15" t="s">
        <v>19</v>
      </c>
    </row>
    <row r="236" spans="1:6" x14ac:dyDescent="0.35">
      <c r="A236" s="23">
        <v>46176</v>
      </c>
      <c r="B236" s="15" t="s">
        <v>77</v>
      </c>
      <c r="C236" s="15" t="s">
        <v>260</v>
      </c>
      <c r="D236" s="18">
        <v>0.5</v>
      </c>
      <c r="E236" s="15"/>
      <c r="F236" s="15" t="s">
        <v>19</v>
      </c>
    </row>
    <row r="237" spans="1:6" x14ac:dyDescent="0.35">
      <c r="A237" s="23">
        <v>46176</v>
      </c>
      <c r="B237" s="15" t="s">
        <v>107</v>
      </c>
      <c r="C237" s="15" t="s">
        <v>260</v>
      </c>
      <c r="D237" s="18">
        <v>1</v>
      </c>
      <c r="E237" s="15"/>
      <c r="F237" s="15" t="s">
        <v>19</v>
      </c>
    </row>
    <row r="238" spans="1:6" x14ac:dyDescent="0.35">
      <c r="A238" s="23">
        <v>46176</v>
      </c>
      <c r="B238" s="15" t="s">
        <v>262</v>
      </c>
      <c r="C238" s="15" t="s">
        <v>260</v>
      </c>
      <c r="D238" s="18">
        <v>3</v>
      </c>
      <c r="E238" s="15"/>
      <c r="F238" s="15" t="s">
        <v>19</v>
      </c>
    </row>
    <row r="239" spans="1:6" x14ac:dyDescent="0.35">
      <c r="A239" s="23">
        <v>46175</v>
      </c>
      <c r="B239" s="15" t="s">
        <v>77</v>
      </c>
      <c r="C239" s="15" t="s">
        <v>260</v>
      </c>
      <c r="D239" s="18">
        <v>0.5</v>
      </c>
      <c r="E239" s="15"/>
      <c r="F239" s="15" t="s">
        <v>19</v>
      </c>
    </row>
    <row r="240" spans="1:6" x14ac:dyDescent="0.35">
      <c r="A240" s="23">
        <v>46175</v>
      </c>
      <c r="B240" s="15" t="s">
        <v>262</v>
      </c>
      <c r="C240" s="15" t="s">
        <v>260</v>
      </c>
      <c r="D240" s="18">
        <v>3</v>
      </c>
      <c r="E240" s="15"/>
      <c r="F240" s="15" t="s">
        <v>19</v>
      </c>
    </row>
    <row r="241" spans="1:6" x14ac:dyDescent="0.35">
      <c r="A241" s="23">
        <v>46174</v>
      </c>
      <c r="B241" s="15" t="s">
        <v>77</v>
      </c>
      <c r="C241" s="15" t="s">
        <v>260</v>
      </c>
      <c r="D241" s="18">
        <v>0.5</v>
      </c>
      <c r="E241" s="15"/>
      <c r="F241" s="15" t="s">
        <v>19</v>
      </c>
    </row>
    <row r="242" spans="1:6" x14ac:dyDescent="0.35">
      <c r="A242" s="23">
        <v>46174</v>
      </c>
      <c r="B242" s="15" t="s">
        <v>107</v>
      </c>
      <c r="C242" s="15" t="s">
        <v>260</v>
      </c>
      <c r="D242" s="18">
        <v>1</v>
      </c>
      <c r="E242" s="15"/>
      <c r="F242" s="15" t="s">
        <v>19</v>
      </c>
    </row>
    <row r="243" spans="1:6" x14ac:dyDescent="0.35">
      <c r="A243" s="23">
        <v>46174</v>
      </c>
      <c r="B243" s="15" t="s">
        <v>262</v>
      </c>
      <c r="C243" s="15" t="s">
        <v>260</v>
      </c>
      <c r="D243" s="18">
        <v>2</v>
      </c>
      <c r="E243" s="15"/>
      <c r="F243" s="15" t="s">
        <v>19</v>
      </c>
    </row>
    <row r="244" spans="1:6" x14ac:dyDescent="0.35">
      <c r="A244" s="23">
        <v>46171</v>
      </c>
      <c r="B244" s="15" t="s">
        <v>262</v>
      </c>
      <c r="C244" s="15" t="s">
        <v>260</v>
      </c>
      <c r="D244" s="18">
        <v>2</v>
      </c>
      <c r="E244" s="15"/>
      <c r="F244" s="15" t="s">
        <v>19</v>
      </c>
    </row>
    <row r="245" spans="1:6" x14ac:dyDescent="0.35">
      <c r="A245" s="23">
        <v>46170</v>
      </c>
      <c r="B245" s="15" t="s">
        <v>261</v>
      </c>
      <c r="C245" s="15" t="s">
        <v>260</v>
      </c>
      <c r="D245" s="18">
        <v>1</v>
      </c>
      <c r="E245" s="15"/>
      <c r="F245" s="15" t="s">
        <v>19</v>
      </c>
    </row>
    <row r="246" spans="1:6" x14ac:dyDescent="0.35">
      <c r="A246" s="23">
        <v>46170</v>
      </c>
      <c r="B246" s="15" t="s">
        <v>267</v>
      </c>
      <c r="C246" s="15" t="s">
        <v>260</v>
      </c>
      <c r="D246" s="18">
        <v>2</v>
      </c>
      <c r="E246" s="15"/>
      <c r="F246" s="15" t="s">
        <v>19</v>
      </c>
    </row>
    <row r="247" spans="1:6" x14ac:dyDescent="0.35">
      <c r="A247" s="23">
        <v>46170</v>
      </c>
      <c r="B247" s="15" t="s">
        <v>107</v>
      </c>
      <c r="C247" s="15" t="s">
        <v>260</v>
      </c>
      <c r="D247" s="18">
        <v>1</v>
      </c>
      <c r="E247" s="15"/>
      <c r="F247" s="15" t="s">
        <v>19</v>
      </c>
    </row>
    <row r="248" spans="1:6" x14ac:dyDescent="0.35">
      <c r="A248" s="23">
        <v>46170</v>
      </c>
      <c r="B248" s="15" t="s">
        <v>262</v>
      </c>
      <c r="C248" s="15" t="s">
        <v>260</v>
      </c>
      <c r="D248" s="18">
        <v>2</v>
      </c>
      <c r="E248" s="15"/>
      <c r="F248" s="15" t="s">
        <v>19</v>
      </c>
    </row>
    <row r="249" spans="1:6" x14ac:dyDescent="0.35">
      <c r="A249" s="23">
        <v>46169</v>
      </c>
      <c r="B249" s="15" t="s">
        <v>265</v>
      </c>
      <c r="C249" s="15" t="s">
        <v>260</v>
      </c>
      <c r="D249" s="18">
        <v>2</v>
      </c>
      <c r="E249" s="15"/>
      <c r="F249" s="15" t="s">
        <v>19</v>
      </c>
    </row>
    <row r="250" spans="1:6" x14ac:dyDescent="0.35">
      <c r="A250" s="23">
        <v>46169</v>
      </c>
      <c r="B250" s="15" t="s">
        <v>107</v>
      </c>
      <c r="C250" s="15" t="s">
        <v>260</v>
      </c>
      <c r="D250" s="18">
        <v>2</v>
      </c>
      <c r="E250" s="15"/>
      <c r="F250" s="15" t="s">
        <v>19</v>
      </c>
    </row>
    <row r="251" spans="1:6" x14ac:dyDescent="0.35">
      <c r="A251" s="23">
        <v>46169</v>
      </c>
      <c r="B251" s="15" t="s">
        <v>262</v>
      </c>
      <c r="C251" s="15" t="s">
        <v>260</v>
      </c>
      <c r="D251" s="18">
        <v>4</v>
      </c>
      <c r="E251" s="15"/>
      <c r="F251" s="15" t="s">
        <v>19</v>
      </c>
    </row>
    <row r="252" spans="1:6" x14ac:dyDescent="0.35">
      <c r="A252" s="23">
        <v>46168</v>
      </c>
      <c r="B252" s="15" t="s">
        <v>265</v>
      </c>
      <c r="C252" s="15" t="s">
        <v>260</v>
      </c>
      <c r="D252" s="18">
        <v>1.5</v>
      </c>
      <c r="E252" s="15"/>
      <c r="F252" s="15" t="s">
        <v>19</v>
      </c>
    </row>
    <row r="253" spans="1:6" x14ac:dyDescent="0.35">
      <c r="A253" s="23">
        <v>46168</v>
      </c>
      <c r="B253" s="15" t="s">
        <v>262</v>
      </c>
      <c r="C253" s="15" t="s">
        <v>260</v>
      </c>
      <c r="D253" s="18">
        <v>2</v>
      </c>
      <c r="E253" s="15"/>
      <c r="F253" s="15" t="s">
        <v>19</v>
      </c>
    </row>
    <row r="254" spans="1:6" x14ac:dyDescent="0.35">
      <c r="A254" s="23">
        <v>46167</v>
      </c>
      <c r="B254" s="15" t="s">
        <v>261</v>
      </c>
      <c r="C254" s="15" t="s">
        <v>260</v>
      </c>
      <c r="D254" s="18">
        <v>2</v>
      </c>
      <c r="E254" s="15"/>
      <c r="F254" s="15" t="s">
        <v>19</v>
      </c>
    </row>
    <row r="255" spans="1:6" x14ac:dyDescent="0.35">
      <c r="A255" s="23">
        <v>46167</v>
      </c>
      <c r="B255" s="15" t="s">
        <v>267</v>
      </c>
      <c r="C255" s="15" t="s">
        <v>260</v>
      </c>
      <c r="D255" s="18">
        <v>2</v>
      </c>
      <c r="E255" s="15"/>
      <c r="F255" s="15" t="s">
        <v>19</v>
      </c>
    </row>
    <row r="256" spans="1:6" x14ac:dyDescent="0.35">
      <c r="A256" s="23">
        <v>46167</v>
      </c>
      <c r="B256" s="15" t="s">
        <v>262</v>
      </c>
      <c r="C256" s="15" t="s">
        <v>260</v>
      </c>
      <c r="D256" s="18">
        <v>4</v>
      </c>
      <c r="E256" s="15"/>
      <c r="F256" s="15" t="s">
        <v>19</v>
      </c>
    </row>
    <row r="257" spans="1:6" x14ac:dyDescent="0.35">
      <c r="A257" s="23">
        <v>46164</v>
      </c>
      <c r="B257" s="15" t="s">
        <v>267</v>
      </c>
      <c r="C257" s="15" t="s">
        <v>260</v>
      </c>
      <c r="D257" s="18">
        <v>2</v>
      </c>
      <c r="E257" s="15"/>
      <c r="F257" s="15" t="s">
        <v>19</v>
      </c>
    </row>
    <row r="258" spans="1:6" x14ac:dyDescent="0.35">
      <c r="A258" s="23">
        <v>46164</v>
      </c>
      <c r="B258" s="15" t="s">
        <v>262</v>
      </c>
      <c r="C258" s="15" t="s">
        <v>260</v>
      </c>
      <c r="D258" s="18">
        <v>1</v>
      </c>
      <c r="E258" s="15"/>
      <c r="F258" s="15" t="s">
        <v>19</v>
      </c>
    </row>
    <row r="259" spans="1:6" x14ac:dyDescent="0.35">
      <c r="A259" s="23">
        <v>46163</v>
      </c>
      <c r="B259" s="15" t="s">
        <v>267</v>
      </c>
      <c r="C259" s="15" t="s">
        <v>260</v>
      </c>
      <c r="D259" s="18">
        <v>2</v>
      </c>
      <c r="E259" s="15"/>
      <c r="F259" s="15" t="s">
        <v>19</v>
      </c>
    </row>
    <row r="260" spans="1:6" x14ac:dyDescent="0.35">
      <c r="A260" s="23">
        <v>46163</v>
      </c>
      <c r="B260" s="15" t="s">
        <v>107</v>
      </c>
      <c r="C260" s="15" t="s">
        <v>260</v>
      </c>
      <c r="D260" s="18">
        <v>1</v>
      </c>
      <c r="E260" s="15"/>
      <c r="F260" s="15" t="s">
        <v>19</v>
      </c>
    </row>
    <row r="261" spans="1:6" x14ac:dyDescent="0.35">
      <c r="A261" s="23">
        <v>46163</v>
      </c>
      <c r="B261" s="15" t="s">
        <v>261</v>
      </c>
      <c r="C261" s="15" t="s">
        <v>260</v>
      </c>
      <c r="D261" s="18">
        <v>1</v>
      </c>
      <c r="E261" s="15"/>
      <c r="F261" s="15" t="s">
        <v>19</v>
      </c>
    </row>
    <row r="262" spans="1:6" x14ac:dyDescent="0.35">
      <c r="A262" s="23">
        <v>46163</v>
      </c>
      <c r="B262" s="15" t="s">
        <v>262</v>
      </c>
      <c r="C262" s="15" t="s">
        <v>260</v>
      </c>
      <c r="D262" s="18">
        <v>3</v>
      </c>
      <c r="E262" s="15"/>
      <c r="F262" s="15" t="s">
        <v>19</v>
      </c>
    </row>
    <row r="263" spans="1:6" x14ac:dyDescent="0.35">
      <c r="A263" s="23">
        <v>46162</v>
      </c>
      <c r="B263" s="15" t="s">
        <v>267</v>
      </c>
      <c r="C263" s="15" t="s">
        <v>260</v>
      </c>
      <c r="D263" s="18">
        <v>2</v>
      </c>
      <c r="E263" s="15"/>
      <c r="F263" s="15" t="s">
        <v>19</v>
      </c>
    </row>
    <row r="264" spans="1:6" x14ac:dyDescent="0.35">
      <c r="A264" s="23">
        <v>46162</v>
      </c>
      <c r="B264" s="15" t="s">
        <v>261</v>
      </c>
      <c r="C264" s="15" t="s">
        <v>260</v>
      </c>
      <c r="D264" s="18">
        <v>3</v>
      </c>
      <c r="E264" s="15"/>
      <c r="F264" s="15" t="s">
        <v>19</v>
      </c>
    </row>
    <row r="265" spans="1:6" x14ac:dyDescent="0.35">
      <c r="A265" s="23">
        <v>46162</v>
      </c>
      <c r="B265" s="15" t="s">
        <v>262</v>
      </c>
      <c r="C265" s="15" t="s">
        <v>260</v>
      </c>
      <c r="D265" s="18">
        <v>3</v>
      </c>
      <c r="E265" s="15"/>
      <c r="F265" s="15" t="s">
        <v>19</v>
      </c>
    </row>
    <row r="266" spans="1:6" x14ac:dyDescent="0.35">
      <c r="A266" s="23">
        <v>46161</v>
      </c>
      <c r="B266" s="15" t="s">
        <v>262</v>
      </c>
      <c r="C266" s="15" t="s">
        <v>260</v>
      </c>
      <c r="D266" s="18">
        <v>4</v>
      </c>
      <c r="E266" s="15"/>
      <c r="F266" s="15" t="s">
        <v>19</v>
      </c>
    </row>
    <row r="267" spans="1:6" x14ac:dyDescent="0.35">
      <c r="A267" s="23">
        <v>46157</v>
      </c>
      <c r="B267" s="15" t="s">
        <v>261</v>
      </c>
      <c r="C267" s="15" t="s">
        <v>260</v>
      </c>
      <c r="D267" s="18">
        <v>1</v>
      </c>
      <c r="E267" s="15"/>
      <c r="F267" s="15" t="s">
        <v>19</v>
      </c>
    </row>
    <row r="268" spans="1:6" x14ac:dyDescent="0.35">
      <c r="A268" s="23">
        <v>46157</v>
      </c>
      <c r="B268" s="15" t="s">
        <v>262</v>
      </c>
      <c r="C268" s="15" t="s">
        <v>260</v>
      </c>
      <c r="D268" s="18">
        <v>2</v>
      </c>
      <c r="E268" s="15"/>
      <c r="F268" s="15" t="s">
        <v>19</v>
      </c>
    </row>
    <row r="269" spans="1:6" x14ac:dyDescent="0.35">
      <c r="A269" s="23">
        <v>46156</v>
      </c>
      <c r="B269" s="15" t="s">
        <v>267</v>
      </c>
      <c r="C269" s="15" t="s">
        <v>260</v>
      </c>
      <c r="D269" s="18">
        <v>2</v>
      </c>
      <c r="E269" s="15"/>
      <c r="F269" s="15" t="s">
        <v>19</v>
      </c>
    </row>
    <row r="270" spans="1:6" x14ac:dyDescent="0.35">
      <c r="A270" s="23">
        <v>46156</v>
      </c>
      <c r="B270" s="15" t="s">
        <v>262</v>
      </c>
      <c r="C270" s="15" t="s">
        <v>260</v>
      </c>
      <c r="D270" s="18">
        <v>3</v>
      </c>
      <c r="E270" s="15"/>
      <c r="F270" s="15" t="s">
        <v>19</v>
      </c>
    </row>
    <row r="271" spans="1:6" x14ac:dyDescent="0.35">
      <c r="A271" s="23">
        <v>46155</v>
      </c>
      <c r="B271" s="15" t="s">
        <v>261</v>
      </c>
      <c r="C271" s="15" t="s">
        <v>260</v>
      </c>
      <c r="D271" s="18">
        <v>1</v>
      </c>
      <c r="E271" s="15"/>
      <c r="F271" s="15" t="s">
        <v>19</v>
      </c>
    </row>
    <row r="272" spans="1:6" x14ac:dyDescent="0.35">
      <c r="A272" s="23">
        <v>46155</v>
      </c>
      <c r="B272" s="15" t="s">
        <v>107</v>
      </c>
      <c r="C272" s="15" t="s">
        <v>260</v>
      </c>
      <c r="D272" s="18">
        <v>1</v>
      </c>
      <c r="E272" s="15"/>
      <c r="F272" s="15" t="s">
        <v>19</v>
      </c>
    </row>
    <row r="273" spans="1:6" x14ac:dyDescent="0.35">
      <c r="A273" s="23">
        <v>46155</v>
      </c>
      <c r="B273" s="15" t="s">
        <v>262</v>
      </c>
      <c r="C273" s="15" t="s">
        <v>260</v>
      </c>
      <c r="D273" s="18">
        <v>2</v>
      </c>
      <c r="E273" s="15"/>
      <c r="F273" s="15" t="s">
        <v>19</v>
      </c>
    </row>
    <row r="274" spans="1:6" x14ac:dyDescent="0.35">
      <c r="A274" s="23">
        <v>46153</v>
      </c>
      <c r="B274" s="15" t="s">
        <v>267</v>
      </c>
      <c r="C274" s="15" t="s">
        <v>260</v>
      </c>
      <c r="D274" s="18">
        <v>2</v>
      </c>
      <c r="E274" s="15"/>
      <c r="F274" s="15" t="s">
        <v>19</v>
      </c>
    </row>
    <row r="275" spans="1:6" x14ac:dyDescent="0.35">
      <c r="A275" s="23">
        <v>46153</v>
      </c>
      <c r="B275" s="15" t="s">
        <v>262</v>
      </c>
      <c r="C275" s="15" t="s">
        <v>260</v>
      </c>
      <c r="D275" s="18">
        <v>3</v>
      </c>
      <c r="E275" s="15"/>
      <c r="F275" s="15" t="s">
        <v>19</v>
      </c>
    </row>
    <row r="276" spans="1:6" x14ac:dyDescent="0.35">
      <c r="A276" s="23">
        <v>46150</v>
      </c>
      <c r="B276" s="15" t="s">
        <v>267</v>
      </c>
      <c r="C276" s="15" t="s">
        <v>260</v>
      </c>
      <c r="D276" s="18">
        <v>1</v>
      </c>
      <c r="E276" s="15"/>
      <c r="F276" s="15" t="s">
        <v>19</v>
      </c>
    </row>
    <row r="277" spans="1:6" x14ac:dyDescent="0.35">
      <c r="A277" s="23">
        <v>46150</v>
      </c>
      <c r="B277" s="15" t="s">
        <v>262</v>
      </c>
      <c r="C277" s="15" t="s">
        <v>260</v>
      </c>
      <c r="D277" s="18">
        <v>2</v>
      </c>
      <c r="E277" s="15"/>
      <c r="F277" s="15" t="s">
        <v>19</v>
      </c>
    </row>
    <row r="278" spans="1:6" x14ac:dyDescent="0.35">
      <c r="A278" s="23">
        <v>46149</v>
      </c>
      <c r="B278" s="15" t="s">
        <v>267</v>
      </c>
      <c r="C278" s="15" t="s">
        <v>260</v>
      </c>
      <c r="D278" s="18">
        <v>2</v>
      </c>
      <c r="E278" s="15"/>
      <c r="F278" s="15" t="s">
        <v>19</v>
      </c>
    </row>
    <row r="279" spans="1:6" x14ac:dyDescent="0.35">
      <c r="A279" s="23">
        <v>46149</v>
      </c>
      <c r="B279" s="15" t="s">
        <v>262</v>
      </c>
      <c r="C279" s="15" t="s">
        <v>260</v>
      </c>
      <c r="D279" s="18">
        <v>3</v>
      </c>
      <c r="E279" s="15"/>
      <c r="F279" s="15" t="s">
        <v>19</v>
      </c>
    </row>
    <row r="280" spans="1:6" x14ac:dyDescent="0.35">
      <c r="A280" s="23">
        <v>46148</v>
      </c>
      <c r="B280" s="15" t="s">
        <v>261</v>
      </c>
      <c r="C280" s="15" t="s">
        <v>260</v>
      </c>
      <c r="D280" s="18">
        <v>2</v>
      </c>
      <c r="E280" s="15"/>
      <c r="F280" s="15" t="s">
        <v>19</v>
      </c>
    </row>
    <row r="281" spans="1:6" x14ac:dyDescent="0.35">
      <c r="A281" s="23">
        <v>46148</v>
      </c>
      <c r="B281" s="15" t="s">
        <v>267</v>
      </c>
      <c r="C281" s="15" t="s">
        <v>260</v>
      </c>
      <c r="D281" s="18">
        <v>2</v>
      </c>
      <c r="E281" s="15"/>
      <c r="F281" s="15" t="s">
        <v>19</v>
      </c>
    </row>
    <row r="282" spans="1:6" x14ac:dyDescent="0.35">
      <c r="A282" s="23">
        <v>46148</v>
      </c>
      <c r="B282" s="15" t="s">
        <v>262</v>
      </c>
      <c r="C282" s="15" t="s">
        <v>260</v>
      </c>
      <c r="D282" s="18">
        <v>3</v>
      </c>
      <c r="E282" s="15"/>
      <c r="F282" s="15" t="s">
        <v>19</v>
      </c>
    </row>
    <row r="283" spans="1:6" x14ac:dyDescent="0.35">
      <c r="A283" s="23">
        <v>46147</v>
      </c>
      <c r="B283" s="15" t="s">
        <v>267</v>
      </c>
      <c r="C283" s="15" t="s">
        <v>260</v>
      </c>
      <c r="D283" s="18">
        <v>2</v>
      </c>
      <c r="E283" s="15"/>
      <c r="F283" s="15" t="s">
        <v>19</v>
      </c>
    </row>
    <row r="284" spans="1:6" x14ac:dyDescent="0.35">
      <c r="A284" s="23">
        <v>46147</v>
      </c>
      <c r="B284" s="15" t="s">
        <v>261</v>
      </c>
      <c r="C284" s="15" t="s">
        <v>260</v>
      </c>
      <c r="D284" s="18">
        <v>2</v>
      </c>
      <c r="E284" s="15"/>
      <c r="F284" s="15" t="s">
        <v>19</v>
      </c>
    </row>
    <row r="285" spans="1:6" x14ac:dyDescent="0.35">
      <c r="A285" s="23">
        <v>46147</v>
      </c>
      <c r="B285" s="15" t="s">
        <v>262</v>
      </c>
      <c r="C285" s="15" t="s">
        <v>260</v>
      </c>
      <c r="D285" s="18">
        <v>5</v>
      </c>
      <c r="E285" s="15"/>
      <c r="F285" s="15" t="s">
        <v>19</v>
      </c>
    </row>
    <row r="286" spans="1:6" x14ac:dyDescent="0.35">
      <c r="A286" s="23">
        <v>46146</v>
      </c>
      <c r="B286" s="15" t="s">
        <v>267</v>
      </c>
      <c r="C286" s="15" t="s">
        <v>260</v>
      </c>
      <c r="D286" s="18">
        <v>2</v>
      </c>
      <c r="E286" s="15"/>
      <c r="F286" s="15" t="s">
        <v>19</v>
      </c>
    </row>
    <row r="287" spans="1:6" x14ac:dyDescent="0.35">
      <c r="A287" s="23">
        <v>46146</v>
      </c>
      <c r="B287" s="15" t="s">
        <v>262</v>
      </c>
      <c r="C287" s="15" t="s">
        <v>260</v>
      </c>
      <c r="D287" s="18">
        <v>3</v>
      </c>
      <c r="E287" s="15"/>
      <c r="F287" s="15" t="s">
        <v>19</v>
      </c>
    </row>
    <row r="288" spans="1:6" x14ac:dyDescent="0.35">
      <c r="A288" s="23">
        <v>46142</v>
      </c>
      <c r="B288" s="15" t="s">
        <v>261</v>
      </c>
      <c r="C288" s="15" t="s">
        <v>260</v>
      </c>
      <c r="D288" s="18">
        <v>2</v>
      </c>
      <c r="E288" s="15"/>
      <c r="F288" s="15" t="s">
        <v>19</v>
      </c>
    </row>
    <row r="289" spans="1:6" x14ac:dyDescent="0.35">
      <c r="A289" s="23">
        <v>46142</v>
      </c>
      <c r="B289" s="15" t="s">
        <v>267</v>
      </c>
      <c r="C289" s="15" t="s">
        <v>260</v>
      </c>
      <c r="D289" s="18">
        <v>2</v>
      </c>
      <c r="E289" s="15"/>
      <c r="F289" s="15" t="s">
        <v>19</v>
      </c>
    </row>
    <row r="290" spans="1:6" x14ac:dyDescent="0.35">
      <c r="A290" s="23">
        <v>46142</v>
      </c>
      <c r="B290" s="15" t="s">
        <v>262</v>
      </c>
      <c r="C290" s="15" t="s">
        <v>260</v>
      </c>
      <c r="D290" s="18">
        <v>2</v>
      </c>
      <c r="E290" s="15"/>
      <c r="F290" s="15" t="s">
        <v>19</v>
      </c>
    </row>
    <row r="291" spans="1:6" x14ac:dyDescent="0.35">
      <c r="A291" s="23">
        <v>46141</v>
      </c>
      <c r="B291" s="15" t="s">
        <v>261</v>
      </c>
      <c r="C291" s="15" t="s">
        <v>260</v>
      </c>
      <c r="D291" s="18">
        <v>4</v>
      </c>
      <c r="E291" s="15"/>
      <c r="F291" s="15" t="s">
        <v>19</v>
      </c>
    </row>
    <row r="292" spans="1:6" x14ac:dyDescent="0.35">
      <c r="A292" s="23">
        <v>46141</v>
      </c>
      <c r="B292" s="15" t="s">
        <v>267</v>
      </c>
      <c r="C292" s="15" t="s">
        <v>260</v>
      </c>
      <c r="D292" s="18">
        <v>2</v>
      </c>
      <c r="E292" s="15"/>
      <c r="F292" s="15" t="s">
        <v>19</v>
      </c>
    </row>
    <row r="293" spans="1:6" x14ac:dyDescent="0.35">
      <c r="A293" s="23">
        <v>46141</v>
      </c>
      <c r="B293" s="15" t="s">
        <v>262</v>
      </c>
      <c r="C293" s="15" t="s">
        <v>260</v>
      </c>
      <c r="D293" s="18">
        <v>6</v>
      </c>
      <c r="E293" s="15"/>
      <c r="F293" s="15" t="s">
        <v>19</v>
      </c>
    </row>
    <row r="294" spans="1:6" x14ac:dyDescent="0.35">
      <c r="A294" s="23">
        <v>46141</v>
      </c>
      <c r="B294" s="15" t="s">
        <v>107</v>
      </c>
      <c r="C294" s="15" t="s">
        <v>260</v>
      </c>
      <c r="D294" s="18">
        <v>1</v>
      </c>
      <c r="E294" s="15"/>
      <c r="F294" s="15" t="s">
        <v>19</v>
      </c>
    </row>
    <row r="295" spans="1:6" x14ac:dyDescent="0.35">
      <c r="A295" s="23">
        <v>46140</v>
      </c>
      <c r="B295" s="15" t="s">
        <v>261</v>
      </c>
      <c r="C295" s="15" t="s">
        <v>260</v>
      </c>
      <c r="D295" s="18">
        <v>2</v>
      </c>
      <c r="E295" s="15"/>
      <c r="F295" s="15" t="s">
        <v>19</v>
      </c>
    </row>
    <row r="296" spans="1:6" x14ac:dyDescent="0.35">
      <c r="A296" s="23">
        <v>46140</v>
      </c>
      <c r="B296" s="15" t="s">
        <v>267</v>
      </c>
      <c r="C296" s="15" t="s">
        <v>260</v>
      </c>
      <c r="D296" s="18">
        <v>2</v>
      </c>
      <c r="E296" s="15"/>
      <c r="F296" s="15" t="s">
        <v>19</v>
      </c>
    </row>
    <row r="297" spans="1:6" x14ac:dyDescent="0.35">
      <c r="A297" s="23">
        <v>46140</v>
      </c>
      <c r="B297" s="15" t="s">
        <v>262</v>
      </c>
      <c r="C297" s="15" t="s">
        <v>260</v>
      </c>
      <c r="D297" s="18">
        <v>4</v>
      </c>
      <c r="E297" s="15"/>
      <c r="F297" s="15" t="s">
        <v>19</v>
      </c>
    </row>
    <row r="298" spans="1:6" x14ac:dyDescent="0.35">
      <c r="A298" s="23">
        <v>46139</v>
      </c>
      <c r="B298" s="15" t="s">
        <v>267</v>
      </c>
      <c r="C298" s="15" t="s">
        <v>260</v>
      </c>
      <c r="D298" s="18">
        <v>2</v>
      </c>
      <c r="E298" s="15"/>
      <c r="F298" s="15" t="s">
        <v>19</v>
      </c>
    </row>
    <row r="299" spans="1:6" x14ac:dyDescent="0.35">
      <c r="A299" s="23">
        <v>46139</v>
      </c>
      <c r="B299" s="15" t="s">
        <v>262</v>
      </c>
      <c r="C299" s="15" t="s">
        <v>260</v>
      </c>
      <c r="D299" s="18">
        <v>2</v>
      </c>
      <c r="E299" s="15"/>
      <c r="F299" s="15" t="s">
        <v>19</v>
      </c>
    </row>
    <row r="300" spans="1:6" x14ac:dyDescent="0.35">
      <c r="A300" s="23">
        <v>46139</v>
      </c>
      <c r="B300" s="15" t="s">
        <v>107</v>
      </c>
      <c r="C300" s="15" t="s">
        <v>260</v>
      </c>
      <c r="D300" s="18">
        <v>1</v>
      </c>
      <c r="E300" s="15"/>
      <c r="F300" s="15" t="s">
        <v>19</v>
      </c>
    </row>
    <row r="301" spans="1:6" x14ac:dyDescent="0.35">
      <c r="A301" s="23">
        <v>46136</v>
      </c>
      <c r="B301" s="15" t="s">
        <v>267</v>
      </c>
      <c r="C301" s="15" t="s">
        <v>260</v>
      </c>
      <c r="D301" s="18">
        <v>2</v>
      </c>
      <c r="E301" s="15"/>
      <c r="F301" s="15" t="s">
        <v>19</v>
      </c>
    </row>
    <row r="302" spans="1:6" x14ac:dyDescent="0.35">
      <c r="A302" s="23">
        <v>46136</v>
      </c>
      <c r="B302" s="15" t="s">
        <v>262</v>
      </c>
      <c r="C302" s="15" t="s">
        <v>260</v>
      </c>
      <c r="D302" s="18">
        <v>3</v>
      </c>
      <c r="E302" s="15"/>
      <c r="F302" s="15" t="s">
        <v>19</v>
      </c>
    </row>
    <row r="303" spans="1:6" x14ac:dyDescent="0.35">
      <c r="A303" s="23">
        <v>46135</v>
      </c>
      <c r="B303" s="15" t="s">
        <v>267</v>
      </c>
      <c r="C303" s="15" t="s">
        <v>260</v>
      </c>
      <c r="D303" s="18">
        <v>2</v>
      </c>
      <c r="E303" s="15"/>
      <c r="F303" s="15" t="s">
        <v>19</v>
      </c>
    </row>
    <row r="304" spans="1:6" x14ac:dyDescent="0.35">
      <c r="A304" s="23">
        <v>46135</v>
      </c>
      <c r="B304" s="15" t="s">
        <v>262</v>
      </c>
      <c r="C304" s="15" t="s">
        <v>260</v>
      </c>
      <c r="D304" s="18">
        <v>4</v>
      </c>
      <c r="E304" s="15"/>
      <c r="F304" s="15" t="s">
        <v>19</v>
      </c>
    </row>
    <row r="305" spans="1:6" x14ac:dyDescent="0.35">
      <c r="A305" s="23">
        <v>46134</v>
      </c>
      <c r="B305" s="15" t="s">
        <v>267</v>
      </c>
      <c r="C305" s="15" t="s">
        <v>260</v>
      </c>
      <c r="D305" s="18">
        <v>2</v>
      </c>
      <c r="E305" s="15"/>
      <c r="F305" s="15" t="s">
        <v>19</v>
      </c>
    </row>
    <row r="306" spans="1:6" x14ac:dyDescent="0.35">
      <c r="A306" s="23">
        <v>46133</v>
      </c>
      <c r="B306" s="15" t="s">
        <v>267</v>
      </c>
      <c r="C306" s="15" t="s">
        <v>260</v>
      </c>
      <c r="D306" s="18">
        <v>2</v>
      </c>
      <c r="E306" s="15"/>
      <c r="F306" s="15" t="s">
        <v>19</v>
      </c>
    </row>
    <row r="307" spans="1:6" x14ac:dyDescent="0.35">
      <c r="A307" s="23">
        <v>46133</v>
      </c>
      <c r="B307" s="15" t="s">
        <v>262</v>
      </c>
      <c r="C307" s="15" t="s">
        <v>260</v>
      </c>
      <c r="D307" s="18">
        <v>2</v>
      </c>
      <c r="E307" s="15"/>
      <c r="F307" s="15" t="s">
        <v>19</v>
      </c>
    </row>
    <row r="308" spans="1:6" x14ac:dyDescent="0.35">
      <c r="A308" s="23">
        <v>46132</v>
      </c>
      <c r="B308" s="15" t="s">
        <v>267</v>
      </c>
      <c r="C308" s="15" t="s">
        <v>260</v>
      </c>
      <c r="D308" s="18">
        <v>2</v>
      </c>
      <c r="E308" s="15"/>
      <c r="F308" s="15" t="s">
        <v>19</v>
      </c>
    </row>
    <row r="309" spans="1:6" x14ac:dyDescent="0.35">
      <c r="A309" s="23">
        <v>46129</v>
      </c>
      <c r="B309" s="15" t="s">
        <v>262</v>
      </c>
      <c r="C309" s="15" t="s">
        <v>260</v>
      </c>
      <c r="D309" s="18">
        <v>4</v>
      </c>
      <c r="E309" s="15"/>
      <c r="F309" s="15" t="s">
        <v>19</v>
      </c>
    </row>
    <row r="310" spans="1:6" x14ac:dyDescent="0.35">
      <c r="A310" s="23">
        <v>46129</v>
      </c>
      <c r="B310" s="15" t="s">
        <v>267</v>
      </c>
      <c r="C310" s="15" t="s">
        <v>260</v>
      </c>
      <c r="D310" s="18">
        <v>1</v>
      </c>
      <c r="E310" s="15"/>
      <c r="F310" s="15" t="s">
        <v>19</v>
      </c>
    </row>
    <row r="311" spans="1:6" x14ac:dyDescent="0.35">
      <c r="A311" s="23">
        <v>46128</v>
      </c>
      <c r="B311" s="15" t="s">
        <v>262</v>
      </c>
      <c r="C311" s="15" t="s">
        <v>260</v>
      </c>
      <c r="D311" s="18">
        <v>4</v>
      </c>
      <c r="E311" s="15"/>
      <c r="F311" s="15" t="s">
        <v>19</v>
      </c>
    </row>
    <row r="312" spans="1:6" x14ac:dyDescent="0.35">
      <c r="A312" s="23">
        <v>46128</v>
      </c>
      <c r="B312" s="15" t="s">
        <v>267</v>
      </c>
      <c r="C312" s="15" t="s">
        <v>260</v>
      </c>
      <c r="D312" s="18">
        <v>2</v>
      </c>
      <c r="E312" s="15"/>
      <c r="F312" s="15" t="s">
        <v>19</v>
      </c>
    </row>
    <row r="313" spans="1:6" x14ac:dyDescent="0.35">
      <c r="A313" s="23">
        <v>46127</v>
      </c>
      <c r="B313" s="15" t="s">
        <v>262</v>
      </c>
      <c r="C313" s="15" t="s">
        <v>260</v>
      </c>
      <c r="D313" s="18">
        <v>2</v>
      </c>
      <c r="E313" s="15"/>
      <c r="F313" s="15" t="s">
        <v>19</v>
      </c>
    </row>
    <row r="314" spans="1:6" x14ac:dyDescent="0.35">
      <c r="A314" s="23">
        <v>46127</v>
      </c>
      <c r="B314" s="15" t="s">
        <v>267</v>
      </c>
      <c r="C314" s="15" t="s">
        <v>260</v>
      </c>
      <c r="D314" s="18">
        <v>2</v>
      </c>
      <c r="E314" s="15"/>
      <c r="F314" s="15" t="s">
        <v>19</v>
      </c>
    </row>
    <row r="315" spans="1:6" x14ac:dyDescent="0.35">
      <c r="A315" s="23">
        <v>46126</v>
      </c>
      <c r="B315" s="15" t="s">
        <v>262</v>
      </c>
      <c r="C315" s="15" t="s">
        <v>260</v>
      </c>
      <c r="D315" s="18">
        <v>3</v>
      </c>
      <c r="E315" s="15"/>
      <c r="F315" s="15" t="s">
        <v>19</v>
      </c>
    </row>
    <row r="316" spans="1:6" x14ac:dyDescent="0.35">
      <c r="A316" s="23">
        <v>46125</v>
      </c>
      <c r="B316" s="15" t="s">
        <v>267</v>
      </c>
      <c r="C316" s="15" t="s">
        <v>260</v>
      </c>
      <c r="D316" s="18">
        <v>3</v>
      </c>
      <c r="E316" s="15"/>
      <c r="F316" s="15" t="s">
        <v>19</v>
      </c>
    </row>
    <row r="317" spans="1:6" x14ac:dyDescent="0.35">
      <c r="A317" s="23">
        <v>46122</v>
      </c>
      <c r="B317" s="15" t="s">
        <v>262</v>
      </c>
      <c r="C317" s="15" t="s">
        <v>260</v>
      </c>
      <c r="D317" s="18">
        <v>4</v>
      </c>
      <c r="E317" s="15"/>
      <c r="F317" s="15" t="s">
        <v>19</v>
      </c>
    </row>
    <row r="318" spans="1:6" x14ac:dyDescent="0.35">
      <c r="A318" s="23">
        <v>46121</v>
      </c>
      <c r="B318" s="15" t="s">
        <v>262</v>
      </c>
      <c r="C318" s="15" t="s">
        <v>260</v>
      </c>
      <c r="D318" s="18">
        <v>4</v>
      </c>
      <c r="E318" s="15"/>
      <c r="F318" s="15" t="s">
        <v>19</v>
      </c>
    </row>
    <row r="319" spans="1:6" x14ac:dyDescent="0.35">
      <c r="A319" s="23">
        <v>46120</v>
      </c>
      <c r="B319" s="15" t="s">
        <v>262</v>
      </c>
      <c r="C319" s="15" t="s">
        <v>260</v>
      </c>
      <c r="D319" s="18">
        <v>2</v>
      </c>
      <c r="E319" s="15"/>
      <c r="F319" s="15" t="s">
        <v>19</v>
      </c>
    </row>
    <row r="320" spans="1:6" x14ac:dyDescent="0.35">
      <c r="A320" s="23">
        <v>46119</v>
      </c>
      <c r="B320" s="15" t="s">
        <v>262</v>
      </c>
      <c r="C320" s="15" t="s">
        <v>260</v>
      </c>
      <c r="D320" s="18">
        <v>4</v>
      </c>
      <c r="E320" s="15"/>
      <c r="F320" s="15" t="s">
        <v>19</v>
      </c>
    </row>
  </sheetData>
  <autoFilter ref="A4:F320" xr:uid="{F6900549-4BD4-4D63-83B8-149CFD7BC9B7}"/>
  <mergeCells count="2">
    <mergeCell ref="A1:F1"/>
    <mergeCell ref="A2:F2"/>
  </mergeCells>
  <pageMargins left="0.7" right="0.7" top="0.75" bottom="0.75" header="0.3" footer="0.3"/>
  <pageSetup scale="74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Resumen</vt:lpstr>
      <vt:lpstr>Cumplimiento</vt:lpstr>
      <vt:lpstr>Anomalias</vt:lpstr>
      <vt:lpstr>Alertas por linea</vt:lpstr>
      <vt:lpstr>Planeacion normalizada</vt:lpstr>
      <vt:lpstr>Mapeo nombres</vt:lpstr>
      <vt:lpstr>Fuentes y supuestos</vt:lpstr>
      <vt:lpstr>Calendario laboral</vt:lpstr>
      <vt:lpstr>RET OpenAir fuente</vt:lpstr>
      <vt:lpstr>'Alertas por linea'!Títulos_a_imprimir</vt:lpstr>
      <vt:lpstr>Anomalias!Títulos_a_imprimir</vt:lpstr>
      <vt:lpstr>'Calendario laboral'!Títulos_a_imprimir</vt:lpstr>
      <vt:lpstr>Cumplimiento!Títulos_a_imprimir</vt:lpstr>
      <vt:lpstr>'Fuentes y supuestos'!Títulos_a_imprimir</vt:lpstr>
      <vt:lpstr>'Mapeo nombres'!Títulos_a_imprimir</vt:lpstr>
      <vt:lpstr>'Planeacion normalizada'!Títulos_a_imprimir</vt:lpstr>
      <vt:lpstr>'RET OpenAir fuente'!Títulos_a_imprimir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Juana Chicacausa</cp:lastModifiedBy>
  <dcterms:created xsi:type="dcterms:W3CDTF">2026-09-04T15:52:32Z</dcterms:created>
  <dcterms:modified xsi:type="dcterms:W3CDTF">2026-09-04T17:12:37Z</dcterms:modified>
</cp:coreProperties>
</file>